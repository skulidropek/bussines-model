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Условие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_123Graph" hidden="1">[1]RSOILBAL!#REF!</definedName>
    <definedName name="__123Graph_A" hidden="1">[2]Кедровский!#REF!</definedName>
    <definedName name="__123Graph_ACRPIE90" hidden="1">[3]RSOILBAL!#REF!</definedName>
    <definedName name="__123Graph_ACRPIE91" hidden="1">[3]RSOILBAL!#REF!</definedName>
    <definedName name="__123Graph_ACRPIE92" hidden="1">[3]RSOILBAL!#REF!</definedName>
    <definedName name="__123Graph_ACRPIE93" hidden="1">[3]RSOILBAL!#REF!</definedName>
    <definedName name="__123Graph_AGraph1" hidden="1">[2]Кедровский!#REF!</definedName>
    <definedName name="__123Graph_AGraph2" hidden="1">[2]Кедровский!#REF!</definedName>
    <definedName name="__123Graph_AGraph3" hidden="1">[2]Кедровский!#REF!</definedName>
    <definedName name="__123Graph_AGraph4" hidden="1">[2]Кедровский!#REF!</definedName>
    <definedName name="__123Graph_LBL_A" hidden="1">[3]RSOILBAL!#REF!</definedName>
    <definedName name="__123Graph_LBL_ACRPIE90" hidden="1">[3]RSOILBAL!#REF!</definedName>
    <definedName name="__123Graph_LBL_ACRPIE91" hidden="1">[3]RSOILBAL!#REF!</definedName>
    <definedName name="__123Graph_LBL_ACRPIE92" hidden="1">[3]RSOILBAL!#REF!</definedName>
    <definedName name="__123Graph_LBL_ACRPIE93" hidden="1">[3]RSOILBAL!#REF!</definedName>
    <definedName name="__123Graph_X" hidden="1">[2]Кедровский!#REF!</definedName>
    <definedName name="__123Graph_XGraph1" hidden="1">[2]Кедровский!#REF!</definedName>
    <definedName name="__123Graph_XGraph2" hidden="1">[2]Кедровский!#REF!</definedName>
    <definedName name="__123Graph_XGraph3" hidden="1">[2]Кедровский!#REF!</definedName>
    <definedName name="__123Graph_XGraph4" hidden="1">[2]Кедровский!#REF!</definedName>
    <definedName name="_Fill" hidden="1">#REF!</definedName>
    <definedName name="_Fill1" hidden="1">#REF!</definedName>
    <definedName name="_Order1" hidden="1">255</definedName>
    <definedName name="_Regression_Int" hidden="1">1</definedName>
    <definedName name="_Sort" hidden="1">#REF!</definedName>
    <definedName name="AccessDatabase" hidden="1">"C:\Мои документы\НоваяОборотка.mdb"</definedName>
    <definedName name="anscount" hidden="1">1</definedName>
    <definedName name="buscase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buscase_1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CAPEX">[4]Вводные!$D$14</definedName>
    <definedName name="IRR">[4]Анализ!$B$4</definedName>
    <definedName name="nnnnnn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nnnnnn_1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nouveaunom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nouveaunom_1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NPV">[4]Анализ!$B$2</definedName>
    <definedName name="SAPBEXhrIndnt" hidden="1">1</definedName>
    <definedName name="SAPBEXrevision" hidden="1">1</definedName>
    <definedName name="SAPBEXsysID" hidden="1">"BW2"</definedName>
    <definedName name="SAPBEXwbID" hidden="1">"3O3ZPWEQ3C5DUIAJ3OV7CK2VI"</definedName>
    <definedName name="tn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trn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trn_1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vitaly" hidden="1">[1]RSOILBAL!#REF!</definedName>
    <definedName name="wrn.Print._.Entire._.Business._.Case.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wrn.Print._.Entire._.Business._.Case._1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yjdjt" hidden="1">#REF!</definedName>
    <definedName name="Z_18E0A45A_F64C_11D3_90C7_000062A15C1A_.wvu.Cols" hidden="1">#REF!</definedName>
    <definedName name="Z_18E0A45A_F64C_11D3_90C7_000062A15C1A_.wvu.FilterData" hidden="1">#REF!</definedName>
    <definedName name="Z_18E0A45A_F64C_11D3_90C7_000062A15C1A_.wvu.PrintTitles" hidden="1">#REF!</definedName>
    <definedName name="аппп" hidden="1">[3]RSOILBAL!#REF!</definedName>
    <definedName name="ва1" hidden="1">#REF!</definedName>
    <definedName name="вав" hidden="1">#REF!</definedName>
    <definedName name="вап" hidden="1">#REF!</definedName>
    <definedName name="ваппм" hidden="1">#REF!</definedName>
    <definedName name="ваып" hidden="1">#REF!</definedName>
    <definedName name="Дебет" hidden="1">[3]RSOILBAL!#REF!</definedName>
    <definedName name="еп" hidden="1">#REF!</definedName>
    <definedName name="зщльзшот" hidden="1">[5]RSOILBAL!#REF!</definedName>
    <definedName name="инвест" hidden="1">#REF!</definedName>
    <definedName name="Интервал_1">[4]Вводные!$C$10</definedName>
    <definedName name="Интервал_2">[4]Вводные!$D$10</definedName>
    <definedName name="Кипр" hidden="1">#REF!</definedName>
    <definedName name="кредит" hidden="1">#REF!</definedName>
    <definedName name="Крепь" hidden="1">#REF!</definedName>
    <definedName name="ктг2012" hidden="1">[3]RSOILBAL!#REF!</definedName>
    <definedName name="Налог_на_прибыль">[4]Вводные!$B$5</definedName>
    <definedName name="НДС">[4]Вводные!$B$4</definedName>
    <definedName name="Объем_1">[4]Вводные!$C$11</definedName>
    <definedName name="Объем_2">[4]Вводные!$D$11</definedName>
    <definedName name="па" hidden="1">#REF!</definedName>
    <definedName name="Парк_1">[4]Вводные!$C$9</definedName>
    <definedName name="Парк_2">[4]Вводные!$D$9</definedName>
    <definedName name="пускатель" hidden="1">[3]RSOILBAL!#REF!</definedName>
    <definedName name="рнрен" hidden="1">#REF!</definedName>
    <definedName name="рр" hidden="1">#REF!</definedName>
    <definedName name="САП" hidden="1">#REF!</definedName>
    <definedName name="см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Содержание">[4]Вводные!$D$13</definedName>
    <definedName name="СПИ">[4]Вводные!$D$15</definedName>
    <definedName name="СПИ_здание">'[6]Предпосылки оплата'!$E$12</definedName>
    <definedName name="СПИ_Оборуд">'[6]Предпосылки оплата'!$E$16</definedName>
    <definedName name="Ставка">[4]Вводные!$B$3</definedName>
    <definedName name="укен" hidden="1">#REF!</definedName>
    <definedName name="форма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фппп" hidden="1">[3]RSOILBAL!#REF!</definedName>
    <definedName name="фыафы" hidden="1">#REF!</definedName>
    <definedName name="фып" hidden="1">[1]RSOILBAL!#REF!</definedName>
    <definedName name="Цена_1">[4]Вводные!$C$12</definedName>
    <definedName name="Цена_2">[4]Вводные!$D$12</definedName>
    <definedName name="числ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числ." hidden="1">{"cover",#N/A,FALSE,"Cover Page";"PnLBase",#N/A,FALSE,"Summary P&amp;L";"PnLOpex",#N/A,FALSE,"Summary P&amp;L";"PnLOpexRevenue",#N/A,FALSE,"Summary P&amp;L";"PnL MANS Revenue",#N/A,FALSE,"Summary P&amp;L";"PnL Consolidated",#N/A,FALSE,"Summary P&amp;L";"IRR",#N/A,FALSE,"Investment Appraisal";"London Revenues",#N/A,FALSE,"London";"Manchester Revenues",#N/A,FALSE,"Manchester";"Birmingham Revenues",#N/A,FALSE,"Birmingham";"Liverpool Revenues",#N/A,FALSE,"Liverpool";"Leeds Revenues",#N/A,FALSE,"Leeds";"Sheffield Revenues",#N/A,FALSE,"Sheffield";"Glasgow Revenues",#N/A,FALSE,"Glasgow";"Edinburgh Revenues",#N/A,FALSE,"Edinburgh";"Bristol Revenues",#N/A,FALSE,"Bristol";"Summary Capex and Depreciation",#N/A,FALSE,"Capex1";"Capex London",#N/A,FALSE,"Capex1";"Capex Manchester",#N/A,FALSE,"Capex1";"Capex Birmingham",#N/A,FALSE,"Capex1";"Capex Liverpool",#N/A,FALSE,"Capex1";"Capex Leeds",#N/A,FALSE,"Capex1";"Capex Sheffield",#N/A,FALSE,"Capex1";"Capex Glasgow",#N/A,FALSE,"Capex1";"Capex Edinburgh",#N/A,FALSE,"Capex1";"Capex Bristol",#N/A,FALSE,"Capex1";"Capex Sceotland",#N/A,FALSE,"Capex1";"Capex2 Breakdown1",#N/A,FALSE,"Capex2";"Capex2 Breakdown2",#N/A,FALSE,"Capex2";"UK Market",#N/A,FALSE,"UK Market";"MANS Business Shares",#N/A,FALSE,"UK Market";"MANS Ranking",#N/A,FALSE,"UK Market";"MANS Market Shares",#N/A,FALSE,"Market Shares";"Traffic1",#N/A,FALSE,"Traffic";"Traffic2",#N/A,FALSE,"Traffic";"Customer Sites",#N/A,FALSE,"Customer Sites";"Customer Sites2",#N/A,FALSE,"Customer Sites";"Ports1",#N/A,FALSE,"Switch Ports";"Ports2",#N/A,FALSE,"Switch Ports"}</definedName>
    <definedName name="Шр1" hidden="1">[1]RSOILBAL!#REF!</definedName>
  </definedNames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EF6EE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0" fontId="0" fillId="0" borderId="0" pivotButton="0" quotePrefix="1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2" borderId="1" pivotButton="0" quotePrefix="0" xfId="0"/>
    <xf numFmtId="10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5" fillId="3" borderId="0" pivotButton="0" quotePrefix="0" xfId="0"/>
    <xf numFmtId="164" fontId="0" fillId="0" borderId="1" pivotButton="0" quotePrefix="0" xfId="0"/>
    <xf numFmtId="0" fontId="5" fillId="2" borderId="0" pivotButton="0" quotePrefix="0" xfId="0"/>
    <xf numFmtId="2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2" borderId="1" applyAlignment="1" pivotButton="0" quotePrefix="0" xfId="0">
      <alignment horizontal="center"/>
    </xf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NPV (delta vs base)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'Условие'!G113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'Условие'!$B$114:$B$115</f>
            </numRef>
          </cat>
          <val>
            <numRef>
              <f>'Условие'!$G$114:$G$115</f>
            </numRef>
          </val>
        </ser>
        <ser>
          <idx val="1"/>
          <order val="1"/>
          <tx>
            <strRef>
              <f>'Условие'!H113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'Условие'!$B$114:$B$115</f>
            </numRef>
          </cat>
          <val>
            <numRef>
              <f>'Условие'!$H$114:$H$115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ΔNPV, руб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Фактор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IRR (delta vs base)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'Условие'!G119</f>
            </strRef>
          </tx>
          <spPr>
            <a:ln xmlns:a="http://schemas.openxmlformats.org/drawingml/2006/main">
              <a:prstDash val="solid"/>
            </a:ln>
          </spPr>
          <cat>
            <numRef>
              <f>'Условие'!$B$120:$B$121</f>
            </numRef>
          </cat>
          <val>
            <numRef>
              <f>'Условие'!$G$120:$G$121</f>
            </numRef>
          </val>
        </ser>
        <ser>
          <idx val="1"/>
          <order val="1"/>
          <tx>
            <strRef>
              <f>'Условие'!H119</f>
            </strRef>
          </tx>
          <spPr>
            <a:ln xmlns:a="http://schemas.openxmlformats.org/drawingml/2006/main">
              <a:prstDash val="solid"/>
            </a:ln>
          </spPr>
          <cat>
            <numRef>
              <f>'Условие'!$B$120:$B$121</f>
            </numRef>
          </cat>
          <val>
            <numRef>
              <f>'Условие'!$H$120:$H$121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ΔIRR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Фактор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NPV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'Условие'!$C$57:$D$57</f>
            </numRef>
          </cat>
          <val>
            <numRef>
              <f>'Условие'!$C$62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'Условие'!$C$57:$D$57</f>
            </numRef>
          </cat>
          <val>
            <numRef>
              <f>'Условие'!$D$62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NPV, RUB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111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125</row>
      <rowOff>0</rowOff>
    </from>
    <ext cx="43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56</row>
      <rowOff>0</rowOff>
    </from>
    <ext cx="2160000" cy="115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&#1055;&#1051;&#1040;&#1053;&#1067;%202008/Documents%20and%20Settings/VVYermakov/&#1052;&#1086;&#1080;%20&#1076;&#1086;&#1082;&#1091;&#1084;&#1077;&#1085;&#1090;&#1099;/Economics,%20CI%20&amp;%20IR/5%20Year%20Plan%20Deliverables/5y%20FINAL%2014%20MAY%202004/$25%20and%20Base%20Transneft%20corrected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Lyuda\&#1076;&#1083;&#1103;%20&#1074;&#1089;&#1077;&#1093;\&#1052;&#1086;&#1080;%20&#1076;&#1086;&#1082;&#1091;&#1084;&#1077;&#1085;&#1090;&#1099;\&#1089;&#1077;&#1073;&#1077;&#1089;&#1090;&#1086;&#1080;&#1084;&#1086;&#1089;&#1090;&#1100;\&#1072;&#1085;&#1072;&#1083;&#1080;&#1079;%20&#1077;&#1078;&#1077;&#1084;&#1077;&#1089;&#1103;&#1095;&#1085;&#1086;\&#1040;&#1085;&#1072;&#1083;&#1080;&#1079;-6-2000(&#1086;&#1078;&#1080;&#1076;.&#1087;&#1086;&#1083;&#1091;&#1075;&#1086;&#1076;&#1080;&#1077;)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Hqfs06\SRB\Documents%20and%20Settings\VVYermakov\&#1052;&#1086;&#1080;%20&#1076;&#1086;&#1082;&#1091;&#1084;&#1077;&#1085;&#1090;&#1099;\Economics,%20CI%20&amp;%20IR\Economic\Planning%20assumptions%20model\Building%20blocks\2005%20Model%2036.5-33-14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Users\zazaz\Desktop\0.%202020\2021\&#1057;&#1086;&#1073;&#1077;&#1089;&#1077;&#1076;&#1086;&#1074;&#1072;&#1085;&#1080;&#1103;\2022\1.%20&#1042;&#1043;&#1050;\&#1060;&#1080;&#1085;&#1072;&#1083;\&#1047;&#1072;&#1076;&#1072;&#1095;&#1072;%20&#1076;&#1083;&#1103;%20&#1048;&#1048;_2.xlsx" TargetMode="External" Id="rId2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Y:\&#1055;&#1051;&#1040;&#1053;&#1067;%202008\Documents%20and%20Settings\VVYermakov\&#1052;&#1086;&#1080;%20&#1076;&#1086;&#1082;&#1091;&#1084;&#1077;&#1085;&#1090;&#1099;\Economics,%20CI%20&amp;%20IR\5%20Year%20Plan%20Deliverables\5y%20FINAL%2014%20MAY%202004\$25%20and%20Base%20Transneft%20corrected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E:\0.%202020\2021\&#1057;&#1086;&#1073;&#1077;&#1089;&#1077;&#1076;&#1086;&#1074;&#1072;&#1085;&#1080;&#1103;\2022\1.%20&#1057;&#1072;&#1084;&#1086;&#1083;&#1077;&#1090;\1.%20&#1057;&#1072;&#1084;&#1086;&#1083;&#1077;&#1090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int"/>
      <sheetName val="Chart Refining Mix RUS"/>
      <sheetName val="Chart Refining Mix"/>
      <sheetName val="Chart Refining Mix 2003"/>
      <sheetName val="Chart Refining Mix 2009"/>
      <sheetName val="Chart % Product Consumption"/>
      <sheetName val="pct 2003-2009"/>
      <sheetName val="pct"/>
      <sheetName val="Chart Consump Outlook ru"/>
      <sheetName val="Chart Consump Outlook"/>
      <sheetName val="print cons"/>
      <sheetName val="chart data"/>
      <sheetName val="Oil Prod chart"/>
      <sheetName val="Oil Cons chart"/>
      <sheetName val="Oil Export chart"/>
      <sheetName val="foreign export chart"/>
      <sheetName val="RefMix"/>
      <sheetName val="RUBValueChain"/>
      <sheetName val="LO prices"/>
      <sheetName val="LO prices RUS"/>
      <sheetName val="HO price RUS"/>
      <sheetName val="HO price"/>
      <sheetName val="Diesel price RUS"/>
      <sheetName val="Diesel price"/>
      <sheetName val="Jet kero price RUS"/>
      <sheetName val="Jet kero price"/>
      <sheetName val="Fuel oil price RUS"/>
      <sheetName val="Fuel oil price"/>
      <sheetName val="USDParity"/>
      <sheetName val="RSOILBAL"/>
      <sheetName val="Chart Price v Parity"/>
      <sheetName val="ElecticityChart"/>
      <sheetName val="GasChart"/>
      <sheetName val="TableMacroRUS"/>
      <sheetName val="TableMacro"/>
      <sheetName val="TableTaxes RUS"/>
      <sheetName val="TableTaxes"/>
      <sheetName val="TablePricesRUS"/>
      <sheetName val="TablePrices"/>
      <sheetName val="TableNetbacks RUS"/>
      <sheetName val="TableNetbacks"/>
      <sheetName val="TableNetbacksFlat"/>
      <sheetName val="TableSummary"/>
      <sheetName val="TableSumFlat RUS"/>
      <sheetName val="TableSummaryFlat"/>
      <sheetName val="Chart Rus Oil Bal RUS"/>
      <sheetName val="Chart Rus Oil Balance"/>
      <sheetName val="TranspTariffs"/>
      <sheetName val="Table Exec Sum RUS"/>
      <sheetName val="Table Exec Summary"/>
      <sheetName val="кода"/>
      <sheetName val="ВПР"/>
      <sheetName val="коды"/>
      <sheetName val="_впр"/>
      <sheetName val="опер план"/>
      <sheetName val="факт 2006"/>
      <sheetName val="Формы"/>
      <sheetName val="1п"/>
      <sheetName val="список"/>
      <sheetName val="Списки"/>
      <sheetName val="111"/>
      <sheetName val="Исходн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Концерн"/>
      <sheetName val="Концерн (2)"/>
      <sheetName val="Кедровский"/>
      <sheetName val="Моховский"/>
      <sheetName val="Сартаки"/>
      <sheetName val="Караканский"/>
      <sheetName val="Бачатский"/>
      <sheetName val="Красный Брод"/>
      <sheetName val="Киселевский"/>
      <sheetName val="Вахрушевразрезуголь"/>
      <sheetName val="Талдинский"/>
      <sheetName val="Ерунаковский"/>
      <sheetName val="Листвянский"/>
      <sheetName val="Калтанский"/>
      <sheetName val="Осинниковский"/>
      <sheetName val="внепр.расходы"/>
      <sheetName val="структура (месяц)"/>
      <sheetName val="структура (снг)"/>
      <sheetName val="ф.5-тп"/>
      <sheetName val="себест. (для бухг.)"/>
      <sheetName val="себест.-расш.(месяц)"/>
      <sheetName val="себест.-расш.(снг)"/>
      <sheetName val="сравн.с пр.годом"/>
      <sheetName val="сравн.с пр.годом (2)"/>
      <sheetName val="Структ.(расш.пр.ден)"/>
      <sheetName val="услуги"/>
      <sheetName val="прочие денежные"/>
      <sheetName val="ВПР"/>
      <sheetName val="Классификатор"/>
      <sheetName val="Класификатор"/>
      <sheetName val="Лист1"/>
      <sheetName val="RSOILBAL"/>
      <sheetName val="Лист2"/>
      <sheetName val="Исходные данные"/>
      <sheetName val=""/>
      <sheetName val="Выгрузка заявок на 2022 1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int"/>
      <sheetName val="Chart Refining Mix RUS"/>
      <sheetName val="Chart Refining Mix"/>
      <sheetName val="Chart Refining Mix 2003"/>
      <sheetName val="Chart Refining Mix 2009"/>
      <sheetName val="Chart % Product Consumption"/>
      <sheetName val="pct 2003-2009"/>
      <sheetName val="pct"/>
      <sheetName val="Chart Consump Outlook ru"/>
      <sheetName val="Chart Consump Outlook"/>
      <sheetName val="print cons"/>
      <sheetName val="chart data"/>
      <sheetName val="Oil Prod chart"/>
      <sheetName val="Oil Cons chart"/>
      <sheetName val="Oil Export chart"/>
      <sheetName val="foreign export chart"/>
      <sheetName val="RefMix"/>
      <sheetName val="RUBValueChain"/>
      <sheetName val="LO prices"/>
      <sheetName val="LO prices RUS"/>
      <sheetName val="HO price RUS"/>
      <sheetName val="HO price"/>
      <sheetName val="Diesel price RUS"/>
      <sheetName val="Diesel price"/>
      <sheetName val="Jet kero price RUS"/>
      <sheetName val="Jet kero price"/>
      <sheetName val="Fuel oil price RUS"/>
      <sheetName val="Fuel oil price"/>
      <sheetName val="USDParity"/>
      <sheetName val="RSOILBAL"/>
      <sheetName val="Chart Price v Parity"/>
      <sheetName val="ElecticityChart"/>
      <sheetName val="GasChart"/>
      <sheetName val="TableMacroRUS"/>
      <sheetName val="TableMacro"/>
      <sheetName val="TableTaxes RUS"/>
      <sheetName val="TableTaxes"/>
      <sheetName val="TablePricesRUS"/>
      <sheetName val="TablePrices"/>
      <sheetName val="TableNetbacks RUS"/>
      <sheetName val="TableNetbacks"/>
      <sheetName val="TableNetbacksFlat"/>
      <sheetName val="TableSummary"/>
      <sheetName val="TableSumFlat RUS"/>
      <sheetName val="TableSummaryFlat"/>
      <sheetName val="Chart Rus Oil Bal RUS"/>
      <sheetName val="Chart Rus Oil Balance"/>
      <sheetName val="TranspTariffs"/>
      <sheetName val="Table Exec Sum RUS"/>
      <sheetName val="Table Exec Summary"/>
      <sheetName val="Materials"/>
      <sheetName val="Production Profile_new "/>
      <sheetName val="$60 Case_STL (30)"/>
      <sheetName val="Данные"/>
      <sheetName val="MAIN_PARAMETERS"/>
      <sheetName val="5_Excise (Q)"/>
      <sheetName val="DIF-6"/>
      <sheetName val="EKDEB90"/>
      <sheetName val="bridge"/>
      <sheetName val="Main"/>
      <sheetName val="FYI"/>
      <sheetName val="Contracts"/>
      <sheetName val="Control"/>
      <sheetName val="График"/>
      <sheetName val="2005 Model 36.5-33-14"/>
      <sheetName val="прочее"/>
      <sheetName val="p_l"/>
      <sheetName val="OFS TOTAL"/>
      <sheetName val="СВОД 2016"/>
      <sheetName val="БДПС 2016"/>
      <sheetName val="СОПГП V"/>
      <sheetName val="Цена"/>
      <sheetName val="топография"/>
      <sheetName val="Кредиты"/>
      <sheetName val="Лист1"/>
      <sheetName val="справочник"/>
      <sheetName val="Суточная"/>
      <sheetName val="Calc"/>
      <sheetName val="ID"/>
      <sheetName val="sapactivexlhiddensheet"/>
      <sheetName val="13.1"/>
      <sheetName val="Смета"/>
      <sheetName val="свод 2"/>
      <sheetName val="СметаСводная Рыб"/>
      <sheetName val="СВОД"/>
      <sheetName val="См 1 наруж.водопровод"/>
      <sheetName val="свод1"/>
      <sheetName val="СметаСводная снег"/>
      <sheetName val="Итог"/>
      <sheetName val="Обновление"/>
      <sheetName val="Справочные данные"/>
      <sheetName val="Настройка"/>
      <sheetName val="ИНВ_short"/>
      <sheetName val="Смета 5.2. Кусты25,29,31,65"/>
      <sheetName val="СС"/>
      <sheetName val="исходные данные"/>
      <sheetName val="расчетные таблицы"/>
      <sheetName val="геология "/>
      <sheetName val="смета СИД"/>
      <sheetName val="Данные для расчёта сметы"/>
      <sheetName val="Summary"/>
      <sheetName val="2.2 "/>
      <sheetName val="Opex personnel (Term facs)"/>
      <sheetName val="ПДР"/>
      <sheetName val="Курсы"/>
      <sheetName val="ПДР ООО &quot;Юкос ФБЦ&quot;"/>
      <sheetName val="Хар_"/>
      <sheetName val="С1_"/>
      <sheetName val="breakdown"/>
      <sheetName val="трансформация1"/>
      <sheetName val="Прибыль опл"/>
      <sheetName val="УП _2004"/>
      <sheetName val="1.3"/>
      <sheetName val="мсн"/>
      <sheetName val="пятилетка"/>
      <sheetName val="Параметры"/>
      <sheetName val="мониторинг"/>
      <sheetName val="Хаттон 90.90 Femco"/>
      <sheetName val="АЧ"/>
      <sheetName val="см8"/>
      <sheetName val="Выпадающие списки"/>
      <sheetName val=""/>
      <sheetName val="Chart_Refining_Mix_RUS"/>
      <sheetName val="Chart_Refining_Mix"/>
      <sheetName val="Chart_Refining_Mix_2003"/>
      <sheetName val="Chart_Refining_Mix_2009"/>
      <sheetName val="Chart_%_Product_Consumption"/>
      <sheetName val="pct_2003-2009"/>
      <sheetName val="Chart_Consump_Outlook_ru"/>
      <sheetName val="Chart_Consump_Outlook"/>
      <sheetName val="print_cons"/>
      <sheetName val="chart_data"/>
      <sheetName val="Oil_Prod_chart"/>
      <sheetName val="Oil_Cons_chart"/>
      <sheetName val="Oil_Export_chart"/>
      <sheetName val="foreign_export_chart"/>
      <sheetName val="LO_prices"/>
      <sheetName val="LO_prices_RUS"/>
      <sheetName val="HO_price_RUS"/>
      <sheetName val="HO_price"/>
      <sheetName val="Diesel_price_RUS"/>
      <sheetName val="Diesel_price"/>
      <sheetName val="Jet_kero_price_RUS"/>
      <sheetName val="Jet_kero_price"/>
      <sheetName val="Fuel_oil_price_RUS"/>
      <sheetName val="Fuel_oil_price"/>
      <sheetName val="Chart_Price_v_Parity"/>
      <sheetName val="TableTaxes_RUS"/>
      <sheetName val="TableNetbacks_RUS"/>
      <sheetName val="TableSumFlat_RUS"/>
      <sheetName val="Chart_Rus_Oil_Bal_RUS"/>
      <sheetName val="Chart_Rus_Oil_Balance"/>
      <sheetName val="Table_Exec_Sum_RUS"/>
      <sheetName val="Table_Exec_Summary"/>
      <sheetName val="Production_Profile_new_"/>
      <sheetName val="МВЗ"/>
      <sheetName val="P_L_"/>
      <sheetName val="base"/>
      <sheetName val="Списки"/>
      <sheetName val="$60_Case_STL_(30)"/>
      <sheetName val="5_Excise_(Q)"/>
      <sheetName val="2005_Model_36_5-33-14"/>
      <sheetName val="OFS_TOTAL"/>
      <sheetName val="Chart_Refining_Mix_RUS1"/>
      <sheetName val="Chart_Refining_Mix1"/>
      <sheetName val="Chart_Refining_Mix_20031"/>
      <sheetName val="Chart_Refining_Mix_20091"/>
      <sheetName val="Chart_%_Product_Consumption1"/>
      <sheetName val="pct_2003-20091"/>
      <sheetName val="Chart_Consump_Outlook_ru1"/>
      <sheetName val="Chart_Consump_Outlook1"/>
      <sheetName val="print_cons1"/>
      <sheetName val="chart_data1"/>
      <sheetName val="Oil_Prod_chart1"/>
      <sheetName val="Oil_Cons_chart1"/>
      <sheetName val="Oil_Export_chart1"/>
      <sheetName val="foreign_export_chart1"/>
      <sheetName val="LO_prices1"/>
      <sheetName val="LO_prices_RUS1"/>
      <sheetName val="HO_price_RUS1"/>
      <sheetName val="HO_price1"/>
      <sheetName val="Diesel_price_RUS1"/>
      <sheetName val="Diesel_price1"/>
      <sheetName val="Jet_kero_price_RUS1"/>
      <sheetName val="Jet_kero_price1"/>
      <sheetName val="Fuel_oil_price_RUS1"/>
      <sheetName val="Fuel_oil_price1"/>
      <sheetName val="Chart_Price_v_Parity1"/>
      <sheetName val="TableTaxes_RUS1"/>
      <sheetName val="TableNetbacks_RUS1"/>
      <sheetName val="TableSumFlat_RUS1"/>
      <sheetName val="Chart_Rus_Oil_Bal_RUS1"/>
      <sheetName val="Chart_Rus_Oil_Balance1"/>
      <sheetName val="Table_Exec_Sum_RUS1"/>
      <sheetName val="Table_Exec_Summary1"/>
      <sheetName val="Production_Profile_new_1"/>
      <sheetName val="$60_Case_STL_(30)1"/>
      <sheetName val="5_Excise_(Q)1"/>
      <sheetName val="2005_Model_36_5-33-141"/>
      <sheetName val="OFS_TOTAL1"/>
      <sheetName val="13_1"/>
      <sheetName val="свод_2"/>
      <sheetName val="СметаСводная_Рыб"/>
      <sheetName val="См_1_наруж_водопровод"/>
      <sheetName val="СметаСводная_снег"/>
      <sheetName val="Справочные_данные"/>
      <sheetName val="СВОД_2016"/>
      <sheetName val="БДПС_2016"/>
      <sheetName val="СОПГП_V"/>
      <sheetName val="исходные_данные"/>
      <sheetName val="расчетные_таблицы"/>
      <sheetName val="Смета_5_2__Кусты25,29,31,65"/>
      <sheetName val="Выпадающие_списки"/>
      <sheetName val="геология_"/>
      <sheetName val="смета_СИД"/>
      <sheetName val="Данные_для_расчёта_сметы"/>
      <sheetName val="2_2_"/>
      <sheetName val="Opex_personnel_(Term_facs)"/>
      <sheetName val="ПДР_ООО_&quot;Юкос_ФБЦ&quot;"/>
      <sheetName val="Прибыль_опл"/>
      <sheetName val="УП__2004"/>
      <sheetName val="1_3"/>
      <sheetName val="Хаттон_90_90_Femco"/>
      <sheetName val="ОТЧЕТ 3"/>
      <sheetName val="A4"/>
      <sheetName val="Chart_%_Product_Consumpti"/>
      <sheetName val="Бадра"/>
      <sheetName val="Cons_Journals"/>
      <sheetName val="T1"/>
      <sheetName val="ВПР"/>
      <sheetName val="_впр"/>
      <sheetName val="СВОД БДДС ГФП"/>
      <sheetName val="список"/>
      <sheetName val="Курдистан"/>
      <sheetName val="s"/>
      <sheetName val="Зап-3- СЦБ"/>
      <sheetName val="Fuel oil price_x0000_31,6"/>
      <sheetName val="Cash Flow"/>
      <sheetName val="увел.окл.на 3,8%, прем., РК и С"/>
      <sheetName val="Сценарий"/>
      <sheetName val="Список ПО"/>
      <sheetName val="К2_ВД_функ"/>
      <sheetName val="Расчет"/>
      <sheetName val="МПВ"/>
      <sheetName val="Статьи1"/>
      <sheetName val="operators2"/>
      <sheetName val="Бридж после СЭУ"/>
      <sheetName val="111"/>
      <sheetName val="bridge_x0000_̎骸澪᪐̔ [200"/>
      <sheetName val="Chart_Refining_Mix_RUS2"/>
      <sheetName val="Chart_Refining_Mix2"/>
      <sheetName val="Chart_Refining_Mix_20032"/>
      <sheetName val="Chart_Refining_Mix_20092"/>
      <sheetName val="Chart_%_Product_Consumption2"/>
      <sheetName val="pct_2003-20092"/>
      <sheetName val="Chart_Consump_Outlook_ru2"/>
      <sheetName val="Chart_Consump_Outlook2"/>
      <sheetName val="print_cons2"/>
      <sheetName val="chart_data2"/>
      <sheetName val="Oil_Prod_chart2"/>
      <sheetName val="Oil_Cons_chart2"/>
      <sheetName val="Oil_Export_chart2"/>
      <sheetName val="foreign_export_chart2"/>
      <sheetName val="LO_prices2"/>
      <sheetName val="LO_prices_RUS2"/>
      <sheetName val="HO_price_RUS2"/>
      <sheetName val="HO_price2"/>
      <sheetName val="Diesel_price_RUS2"/>
      <sheetName val="Diesel_price2"/>
      <sheetName val="Jet_kero_price_RUS2"/>
      <sheetName val="Jet_kero_price2"/>
      <sheetName val="Fuel_oil_price_RUS2"/>
      <sheetName val="Fuel_oil_price2"/>
      <sheetName val="Chart_Price_v_Parity2"/>
      <sheetName val="TableTaxes_RUS2"/>
      <sheetName val="TableNetbacks_RUS2"/>
      <sheetName val="TableSumFlat_RUS2"/>
      <sheetName val="Chart_Rus_Oil_Bal_RUS2"/>
      <sheetName val="Chart_Rus_Oil_Balance2"/>
      <sheetName val="Table_Exec_Sum_RUS2"/>
      <sheetName val="Table_Exec_Summary2"/>
      <sheetName val="Production_Profile_new_2"/>
      <sheetName val="$60_Case_STL_(30)2"/>
      <sheetName val="5_Excise_(Q)2"/>
      <sheetName val="2005_Model_36_5-33-142"/>
      <sheetName val="СВОД_20161"/>
      <sheetName val="БДПС_20161"/>
      <sheetName val="OFS_TOTAL2"/>
      <sheetName val="СОПГП_V1"/>
      <sheetName val="13_11"/>
      <sheetName val="свод_21"/>
      <sheetName val="СметаСводная_Рыб1"/>
      <sheetName val="См_1_наруж_водопровод1"/>
      <sheetName val="СметаСводная_снег1"/>
      <sheetName val="Справочные_данные1"/>
      <sheetName val="исходные_данные1"/>
      <sheetName val="расчетные_таблицы1"/>
      <sheetName val="Смета_5_2__Кусты25,29,31,651"/>
      <sheetName val="Выпадающие_списки1"/>
      <sheetName val="геология_1"/>
      <sheetName val="смета_СИД1"/>
      <sheetName val="Данные_для_расчёта_сметы1"/>
      <sheetName val="2_2_1"/>
      <sheetName val="Opex_personnel_(Term_facs)1"/>
      <sheetName val="ПДР_ООО_&quot;Юкос_ФБЦ&quot;1"/>
      <sheetName val="Прибыль_опл1"/>
      <sheetName val="УП__20041"/>
      <sheetName val="1_31"/>
      <sheetName val="Хаттон_90_90_Femco1"/>
      <sheetName val="ОТЧЕТ_3"/>
      <sheetName val="Testing Results"/>
      <sheetName val="К1_контраг"/>
      <sheetName val="ЦК"/>
      <sheetName val="БР"/>
      <sheetName val="Техлист"/>
      <sheetName val="Fuel oil price_x005f_x0000_31,6"/>
      <sheetName val="Модель расчёта ГРиД"/>
      <sheetName val="Макроусловия"/>
      <sheetName val="Scoreing"/>
      <sheetName val="КапСтрой_Зарубежье"/>
      <sheetName val="Данные для отчета"/>
      <sheetName val="Контрагенты"/>
      <sheetName val="Справочники"/>
      <sheetName val="Статьи субподряда"/>
      <sheetName val="Проекты"/>
      <sheetName val="Fuel oil price?31,6"/>
      <sheetName val="Salary"/>
      <sheetName val="Допущения"/>
      <sheetName val="5"/>
      <sheetName val=" N Finansal Eğri"/>
      <sheetName val="ВЫХОД"/>
      <sheetName val="не удалят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Решение"/>
      <sheetName val="Формат"/>
      <sheetName val="Допущения"/>
      <sheetName val="Вводные"/>
      <sheetName val="Вариант 1"/>
      <sheetName val="Вариант 2"/>
      <sheetName val="Инкремент"/>
      <sheetName val="Анализ"/>
      <sheetName val="Анализ Чувствительности"/>
      <sheetName val="Амортизация"/>
    </sheetNames>
    <sheetDataSet>
      <sheetData sheetId="0" refreshError="1"/>
      <sheetData sheetId="1" refreshError="1"/>
      <sheetData sheetId="2" refreshError="1"/>
      <sheetData sheetId="3">
        <row r="3">
          <cell r="B3">
            <v>0.15</v>
          </cell>
        </row>
        <row r="4">
          <cell r="B4">
            <v>0.2</v>
          </cell>
        </row>
        <row r="5">
          <cell r="B5">
            <v>0.2</v>
          </cell>
        </row>
        <row r="9">
          <cell r="C9">
            <v>70</v>
          </cell>
          <cell r="D9">
            <v>70</v>
          </cell>
        </row>
        <row r="10">
          <cell r="C10">
            <v>3</v>
          </cell>
          <cell r="D10">
            <v>2</v>
          </cell>
        </row>
        <row r="11">
          <cell r="C11">
            <v>200</v>
          </cell>
          <cell r="D11">
            <v>200</v>
          </cell>
        </row>
        <row r="12">
          <cell r="C12">
            <v>150</v>
          </cell>
          <cell r="D12">
            <v>200</v>
          </cell>
        </row>
        <row r="13">
          <cell r="D13">
            <v>150</v>
          </cell>
        </row>
        <row r="14">
          <cell r="D14">
            <v>15000</v>
          </cell>
        </row>
        <row r="15">
          <cell r="D15">
            <v>60</v>
          </cell>
        </row>
      </sheetData>
      <sheetData sheetId="4" refreshError="1"/>
      <sheetData sheetId="5" refreshError="1"/>
      <sheetData sheetId="6" refreshError="1"/>
      <sheetData sheetId="7">
        <row r="2">
          <cell r="B2">
            <v>8374.4423243357833</v>
          </cell>
        </row>
        <row r="4">
          <cell r="B4">
            <v>0.50334782735007644</v>
          </cell>
        </row>
      </sheetData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rint"/>
      <sheetName val="Chart Refining Mix RUS"/>
      <sheetName val="Chart Refining Mix"/>
      <sheetName val="Chart Refining Mix 2003"/>
      <sheetName val="Chart Refining Mix 2009"/>
      <sheetName val="Chart % Product Consumption"/>
      <sheetName val="pct 2003-2009"/>
      <sheetName val="pct"/>
      <sheetName val="Chart Consump Outlook ru"/>
      <sheetName val="Chart Consump Outlook"/>
      <sheetName val="print cons"/>
      <sheetName val="chart data"/>
      <sheetName val="Oil Prod chart"/>
      <sheetName val="Oil Cons chart"/>
      <sheetName val="Oil Export chart"/>
      <sheetName val="foreign export chart"/>
      <sheetName val="RefMix"/>
      <sheetName val="RUBValueChain"/>
      <sheetName val="LO prices"/>
      <sheetName val="LO prices RUS"/>
      <sheetName val="HO price RUS"/>
      <sheetName val="HO price"/>
      <sheetName val="Diesel price RUS"/>
      <sheetName val="Diesel price"/>
      <sheetName val="Jet kero price RUS"/>
      <sheetName val="Jet kero price"/>
      <sheetName val="Fuel oil price RUS"/>
      <sheetName val="Fuel oil price"/>
      <sheetName val="USDParity"/>
      <sheetName val="RSOILBAL"/>
      <sheetName val="Chart Price v Parity"/>
      <sheetName val="ElecticityChart"/>
      <sheetName val="GasChart"/>
      <sheetName val="TableMacroRUS"/>
      <sheetName val="TableMacro"/>
      <sheetName val="TableTaxes RUS"/>
      <sheetName val="TableTaxes"/>
      <sheetName val="TablePricesRUS"/>
      <sheetName val="TablePrices"/>
      <sheetName val="TableNetbacks RUS"/>
      <sheetName val="TableNetbacks"/>
      <sheetName val="TableNetbacksFlat"/>
      <sheetName val="TableSummary"/>
      <sheetName val="TableSumFlat RUS"/>
      <sheetName val="TableSummaryFlat"/>
      <sheetName val="Chart Rus Oil Bal RUS"/>
      <sheetName val="Chart Rus Oil Balance"/>
      <sheetName val="TranspTariffs"/>
      <sheetName val="Table Exec Sum RUS"/>
      <sheetName val="Table Exec Summary"/>
      <sheetName val="кода"/>
      <sheetName val="ВПР"/>
      <sheetName val="коды"/>
      <sheetName val="_впр"/>
      <sheetName val="опер план"/>
      <sheetName val="факт 2006"/>
      <sheetName val="Формы"/>
      <sheetName val="1п"/>
      <sheetName val="список"/>
      <sheetName val="Списки"/>
      <sheetName val="111"/>
      <sheetName val="Исходн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Формат"/>
      <sheetName val="Содержание"/>
      <sheetName val="Допущения"/>
      <sheetName val="Предпосылки оплата"/>
      <sheetName val="Модель"/>
      <sheetName val="Амортизация и РБП"/>
      <sheetName val="Анализ"/>
      <sheetName val="Анализ чувствительности"/>
    </sheetNames>
    <sheetDataSet>
      <sheetData sheetId="0" refreshError="1"/>
      <sheetData sheetId="1" refreshError="1"/>
      <sheetData sheetId="2" refreshError="1"/>
      <sheetData sheetId="3">
        <row r="12">
          <cell r="E12">
            <v>30</v>
          </cell>
        </row>
        <row r="16">
          <cell r="E16">
            <v>15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21"/>
  <sheetViews>
    <sheetView showGridLines="0" tabSelected="1" workbookViewId="0">
      <pane xSplit="3" ySplit="24" topLeftCell="D2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2" customWidth="1" min="1" max="1"/>
    <col width="4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bestFit="1" customWidth="1" min="8" max="8"/>
    <col width="14" bestFit="1" customWidth="1" min="9" max="11"/>
    <col width="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75" customHeight="1">
      <c r="B1" s="1" t="inlineStr">
        <is>
          <t xml:space="preserve">1. Рассчитать: 
- DPP 
- IRR 
- чувствительность к росту цены на масло (цена вырастет, т.к. подберем более качественное) 
- чувствительность к увеличению интервала замены </t>
        </is>
      </c>
      <c r="H1" s="3" t="n"/>
      <c r="I1" s="3" t="n"/>
      <c r="J1" s="3" t="n"/>
    </row>
    <row r="2">
      <c r="B2" s="4" t="inlineStr">
        <is>
          <t>2. Суть проекта: приобретение лаборатории анализа масла.</t>
        </is>
      </c>
    </row>
    <row r="3">
      <c r="B3" t="inlineStr">
        <is>
          <t xml:space="preserve"> - позволит опытным путем подобрать подходящее масло </t>
        </is>
      </c>
    </row>
    <row r="4">
      <c r="B4" t="inlineStr">
        <is>
          <t xml:space="preserve"> - позволит увеличить интервал замены благодаря правильно подобранному маслу, возможности контроля входного качества и текущего состояния масел</t>
        </is>
      </c>
    </row>
    <row r="5">
      <c r="B5" s="4" t="inlineStr">
        <is>
          <t>3. Дано.</t>
        </is>
      </c>
    </row>
    <row r="6">
      <c r="B6" t="inlineStr">
        <is>
          <t>Текущая ситуация</t>
        </is>
      </c>
    </row>
    <row r="7">
      <c r="B7" t="inlineStr">
        <is>
          <t xml:space="preserve"> - интервал замены моторного масла в ДВС </t>
        </is>
      </c>
      <c r="C7" s="5" t="n">
        <v>3</v>
      </c>
      <c r="D7" t="inlineStr">
        <is>
          <t>раз в месяц (каждый самосвал)</t>
        </is>
      </c>
      <c r="J7" s="6" t="n"/>
    </row>
    <row r="8">
      <c r="B8" t="inlineStr">
        <is>
          <t xml:space="preserve"> - парк автомобилей</t>
        </is>
      </c>
      <c r="C8" s="5" t="n">
        <v>70</v>
      </c>
      <c r="D8" t="inlineStr">
        <is>
          <t>единиц</t>
        </is>
      </c>
      <c r="J8" s="6" t="n"/>
    </row>
    <row r="9">
      <c r="B9" t="inlineStr">
        <is>
          <t xml:space="preserve"> - объем замены</t>
        </is>
      </c>
      <c r="C9" s="5" t="n">
        <v>200</v>
      </c>
      <c r="D9" t="inlineStr">
        <is>
          <t>литров</t>
        </is>
      </c>
    </row>
    <row r="10">
      <c r="B10" t="inlineStr">
        <is>
          <t xml:space="preserve"> - цена масла</t>
        </is>
      </c>
      <c r="C10" s="5" t="n">
        <v>150</v>
      </c>
      <c r="D10" t="inlineStr">
        <is>
          <t>руб/литр</t>
        </is>
      </c>
    </row>
    <row r="11">
      <c r="C11" s="5" t="n"/>
    </row>
    <row r="12">
      <c r="B12" t="inlineStr">
        <is>
          <t>Ожидания</t>
        </is>
      </c>
    </row>
    <row r="13">
      <c r="B13" t="inlineStr">
        <is>
          <t xml:space="preserve"> - интервал замены моторного масла в ДВС </t>
        </is>
      </c>
      <c r="C13" s="5" t="n">
        <v>2</v>
      </c>
      <c r="D13" t="inlineStr">
        <is>
          <t>раз в месяц (каждый самосвал)</t>
        </is>
      </c>
      <c r="J13" s="6" t="n"/>
    </row>
    <row r="14">
      <c r="B14" t="inlineStr">
        <is>
          <t xml:space="preserve"> - цена масла</t>
        </is>
      </c>
      <c r="C14" s="5" t="n">
        <v>200</v>
      </c>
      <c r="D14" t="inlineStr">
        <is>
          <t>руб/литр</t>
        </is>
      </c>
      <c r="J14" s="6" t="n"/>
    </row>
    <row r="15">
      <c r="B15" t="inlineStr">
        <is>
          <t xml:space="preserve"> - содержание лаборатории</t>
        </is>
      </c>
      <c r="C15" s="5" t="n">
        <v>150</v>
      </c>
      <c r="D15" t="inlineStr">
        <is>
          <t>тр/мес</t>
        </is>
      </c>
      <c r="J15" s="6" t="n"/>
    </row>
    <row r="16">
      <c r="B16" t="inlineStr">
        <is>
          <t xml:space="preserve"> - цена лаборатории, с НДС</t>
        </is>
      </c>
      <c r="C16" s="5" t="n">
        <v>15</v>
      </c>
      <c r="D16" t="inlineStr">
        <is>
          <t>млн.руб</t>
        </is>
      </c>
    </row>
    <row r="17">
      <c r="B17" s="4" t="inlineStr">
        <is>
          <t>4. Оформление решения.</t>
        </is>
      </c>
    </row>
    <row r="18">
      <c r="B18" s="7" t="inlineStr">
        <is>
          <t>- финансовая модель</t>
        </is>
      </c>
    </row>
    <row r="19">
      <c r="B19" t="inlineStr">
        <is>
          <t xml:space="preserve"> - 1 слайд с расчетом. Цель: посмотрел слайд - купил лабораторию. </t>
        </is>
      </c>
    </row>
    <row r="20">
      <c r="B20" t="inlineStr">
        <is>
          <t xml:space="preserve"> - В расчете на слайде ключевые на Ваш взгляд данные</t>
        </is>
      </c>
    </row>
    <row r="23" ht="20" customHeight="1">
      <c r="B23" s="8" t="inlineStr">
        <is>
          <t>РАСЧЕТНАЯ МОДЕЛЬ (формульная, 2 сценария + сравнение)</t>
        </is>
      </c>
    </row>
    <row r="24" ht="20" customHeight="1">
      <c r="B24" t="inlineStr">
        <is>
          <t>Год модели (t)</t>
        </is>
      </c>
      <c r="D24" s="9" t="n">
        <v>0</v>
      </c>
      <c r="E24" s="9" t="n">
        <v>1</v>
      </c>
      <c r="F24" s="9" t="n">
        <v>2</v>
      </c>
      <c r="G24" s="9" t="n">
        <v>3</v>
      </c>
      <c r="H24" s="9" t="n">
        <v>4</v>
      </c>
      <c r="I24" s="9" t="n">
        <v>5</v>
      </c>
    </row>
    <row r="25" ht="20" customHeight="1"/>
    <row r="26" ht="20" customHeight="1">
      <c r="B26" s="10" t="inlineStr">
        <is>
          <t>IN_discount_rate</t>
        </is>
      </c>
      <c r="C26" s="11" t="n">
        <v>0.15</v>
      </c>
    </row>
    <row r="27" ht="20" customHeight="1">
      <c r="B27" s="10" t="inlineStr">
        <is>
          <t>IN_horizon_years</t>
        </is>
      </c>
      <c r="C27" s="12" t="n">
        <v>5</v>
      </c>
    </row>
    <row r="28" ht="20" customHeight="1">
      <c r="B28" s="10" t="inlineStr">
        <is>
          <t>IN_fleet_units</t>
        </is>
      </c>
      <c r="C28" s="12" t="n">
        <v>70</v>
      </c>
    </row>
    <row r="29" ht="20" customHeight="1">
      <c r="B29" s="10" t="inlineStr">
        <is>
          <t>IN_liters_per_change</t>
        </is>
      </c>
      <c r="C29" s="12" t="n">
        <v>200</v>
      </c>
    </row>
    <row r="30" ht="20" customHeight="1">
      <c r="B30" s="10" t="inlineStr">
        <is>
          <t>IN_freq_current_per_month</t>
        </is>
      </c>
      <c r="C30" s="12" t="n">
        <v>3</v>
      </c>
    </row>
    <row r="31" ht="20" customHeight="1">
      <c r="B31" s="10" t="inlineStr">
        <is>
          <t>IN_freq_project_per_month</t>
        </is>
      </c>
      <c r="C31" s="12" t="n">
        <v>2</v>
      </c>
    </row>
    <row r="32" ht="20" customHeight="1">
      <c r="B32" s="10" t="inlineStr">
        <is>
          <t>IN_price_current_rub_per_l</t>
        </is>
      </c>
      <c r="C32" s="13" t="n">
        <v>150</v>
      </c>
    </row>
    <row r="33" ht="20" customHeight="1">
      <c r="B33" s="10" t="inlineStr">
        <is>
          <t>IN_price_project_rub_per_l</t>
        </is>
      </c>
      <c r="C33" s="13" t="n">
        <v>200</v>
      </c>
    </row>
    <row r="34" ht="20" customHeight="1">
      <c r="B34" s="10" t="inlineStr">
        <is>
          <t>IN_lab_opex_rub_per_month</t>
        </is>
      </c>
      <c r="C34" s="14" t="n">
        <v>150000</v>
      </c>
    </row>
    <row r="35" ht="20" customHeight="1">
      <c r="B35" s="10" t="inlineStr">
        <is>
          <t>IN_capex_rub_t0_ex_vat</t>
        </is>
      </c>
      <c r="C35" s="14" t="n">
        <v>12500000</v>
      </c>
    </row>
    <row r="36" ht="20" customHeight="1"/>
    <row r="37" ht="20" customHeight="1"/>
    <row r="38" ht="20" customHeight="1">
      <c r="B38" s="15" t="inlineStr">
        <is>
          <t>OP_current_cost_month</t>
        </is>
      </c>
      <c r="C38" s="14">
        <f>C30*C28*C29*C32</f>
        <v/>
      </c>
    </row>
    <row r="39" ht="20" customHeight="1">
      <c r="B39" s="15" t="inlineStr">
        <is>
          <t>OP_project_oil_cost_month</t>
        </is>
      </c>
      <c r="C39" s="14">
        <f>C31*C28*C29*C33</f>
        <v/>
      </c>
    </row>
    <row r="40" ht="20" customHeight="1">
      <c r="B40" s="15" t="inlineStr">
        <is>
          <t>OP_project_total_cost_month</t>
        </is>
      </c>
      <c r="C40" s="14">
        <f>C39+C34</f>
        <v/>
      </c>
    </row>
    <row r="41" ht="20" customHeight="1">
      <c r="B41" s="15" t="inlineStr">
        <is>
          <t>OP_savings_month</t>
        </is>
      </c>
      <c r="C41" s="14">
        <f>C38-C40</f>
        <v/>
      </c>
    </row>
    <row r="42" ht="20" customHeight="1">
      <c r="B42" s="15" t="inlineStr">
        <is>
          <t>OP_savings_year</t>
        </is>
      </c>
      <c r="C42" s="14">
        <f>C41*12</f>
        <v/>
      </c>
    </row>
    <row r="43" ht="20" customHeight="1">
      <c r="B43" s="15" t="inlineStr">
        <is>
          <t>VAL_cash_flow</t>
        </is>
      </c>
      <c r="D43" s="14">
        <f>-$C$35</f>
        <v/>
      </c>
      <c r="E43" s="14">
        <f>$C$42</f>
        <v/>
      </c>
      <c r="F43" s="14">
        <f>$C$42</f>
        <v/>
      </c>
      <c r="G43" s="14">
        <f>$C$42</f>
        <v/>
      </c>
      <c r="H43" s="14">
        <f>$C$42</f>
        <v/>
      </c>
      <c r="I43" s="14">
        <f>$C$42</f>
        <v/>
      </c>
    </row>
    <row r="44" ht="20" customHeight="1">
      <c r="B44" s="15" t="inlineStr">
        <is>
          <t>VAL_discount_factor</t>
        </is>
      </c>
      <c r="D44" s="21">
        <f>1/((1+$C$26)^D24)</f>
        <v/>
      </c>
      <c r="E44" s="21">
        <f>1/((1+$C$26)^E24)</f>
        <v/>
      </c>
      <c r="F44" s="21">
        <f>1/((1+$C$26)^F24)</f>
        <v/>
      </c>
      <c r="G44" s="21">
        <f>1/((1+$C$26)^G24)</f>
        <v/>
      </c>
      <c r="H44" s="21">
        <f>1/((1+$C$26)^H24)</f>
        <v/>
      </c>
      <c r="I44" s="21">
        <f>1/((1+$C$26)^I24)</f>
        <v/>
      </c>
    </row>
    <row r="45" ht="20" customHeight="1">
      <c r="B45" s="15" t="inlineStr">
        <is>
          <t>VAL_discounted_cf</t>
        </is>
      </c>
      <c r="D45" s="14">
        <f>D43*D44</f>
        <v/>
      </c>
      <c r="E45" s="14">
        <f>E43*E44</f>
        <v/>
      </c>
      <c r="F45" s="14">
        <f>F43*F44</f>
        <v/>
      </c>
      <c r="G45" s="14">
        <f>G43*G44</f>
        <v/>
      </c>
      <c r="H45" s="14">
        <f>H43*H44</f>
        <v/>
      </c>
      <c r="I45" s="14">
        <f>I43*I44</f>
        <v/>
      </c>
    </row>
    <row r="46" ht="20" customHeight="1">
      <c r="B46" s="15" t="inlineStr">
        <is>
          <t>VAL_cumulative_discounted_cf</t>
        </is>
      </c>
      <c r="D46" s="14">
        <f>D45</f>
        <v/>
      </c>
      <c r="E46" s="14">
        <f>D46+E45</f>
        <v/>
      </c>
      <c r="F46" s="14">
        <f>E46+F45</f>
        <v/>
      </c>
      <c r="G46" s="14">
        <f>F46+G45</f>
        <v/>
      </c>
      <c r="H46" s="14">
        <f>G46+H45</f>
        <v/>
      </c>
      <c r="I46" s="14">
        <f>H46+I45</f>
        <v/>
      </c>
    </row>
    <row r="47" ht="20" customHeight="1"/>
    <row r="48" ht="20" customHeight="1">
      <c r="B48" s="17" t="inlineStr">
        <is>
          <t>VAL_NPV</t>
        </is>
      </c>
      <c r="C48" s="14">
        <f>C62</f>
        <v/>
      </c>
    </row>
    <row r="49" ht="20" customHeight="1">
      <c r="B49" s="17" t="inlineStr">
        <is>
          <t>VAL_IRR</t>
        </is>
      </c>
      <c r="C49" s="11">
        <f>C63</f>
        <v/>
      </c>
    </row>
    <row r="50" ht="20" customHeight="1">
      <c r="B50" s="17" t="inlineStr">
        <is>
          <t>VAL_DPP_years</t>
        </is>
      </c>
      <c r="C50" s="18">
        <f>C64</f>
        <v/>
      </c>
    </row>
    <row r="51" ht="20" customHeight="1">
      <c r="B51" s="17" t="inlineStr">
        <is>
          <t>VAL_decision</t>
        </is>
      </c>
      <c r="C51" s="12">
        <f>C65</f>
        <v/>
      </c>
    </row>
    <row r="52" ht="20" customHeight="1">
      <c r="C52" s="12" t="n"/>
    </row>
    <row r="53" ht="20" customHeight="1">
      <c r="B53" s="17" t="inlineStr">
        <is>
          <t>VAL_price_break_even_at_freq_project</t>
        </is>
      </c>
      <c r="C53" s="13">
        <f>(($C$30*$C$32*$C$28*$C$29)-$C$34)/($C$31*$C$28*$C$29)</f>
        <v/>
      </c>
    </row>
    <row r="54" ht="20" customHeight="1">
      <c r="B54" s="17" t="inlineStr">
        <is>
          <t>VAL_freq_break_even_at_price_project</t>
        </is>
      </c>
      <c r="C54" s="22">
        <f>(($C$30*$C$32*$C$28*$C$29)-$C$34)/($C$33*$C$28*$C$29)</f>
        <v/>
      </c>
    </row>
    <row r="55" ht="20" customHeight="1"/>
    <row r="56" ht="20" customHeight="1">
      <c r="B56" s="8" t="inlineStr">
        <is>
          <t>SCENARIO_COMPARISON</t>
        </is>
      </c>
    </row>
    <row r="57" ht="20" customHeight="1">
      <c r="B57" s="23" t="inlineStr">
        <is>
          <t>Показатель</t>
        </is>
      </c>
      <c r="C57" s="23" t="inlineStr">
        <is>
          <t>Сценарий 1: База</t>
        </is>
      </c>
      <c r="D57" s="23" t="inlineStr">
        <is>
          <t>Сценарий 2: Консервативный</t>
        </is>
      </c>
      <c r="E57" s="23" t="inlineStr">
        <is>
          <t>Δ (2-1)</t>
        </is>
      </c>
    </row>
    <row r="58" ht="20" customHeight="1">
      <c r="B58" s="24" t="inlineStr">
        <is>
          <t>SCN_freq_project_per_month</t>
        </is>
      </c>
      <c r="C58" s="13">
        <f>$C$31</f>
        <v/>
      </c>
      <c r="D58" s="13">
        <f>$C$31+$C$69</f>
        <v/>
      </c>
      <c r="E58" s="13">
        <f>D58-C58</f>
        <v/>
      </c>
    </row>
    <row r="59" ht="20" customHeight="1">
      <c r="B59" s="24" t="inlineStr">
        <is>
          <t>SCN_price_project_rub_per_l</t>
        </is>
      </c>
      <c r="C59" s="13">
        <f>$C$33</f>
        <v/>
      </c>
      <c r="D59" s="13">
        <f>$C$33*(1+$C$68)</f>
        <v/>
      </c>
      <c r="E59" s="13">
        <f>D59-C59</f>
        <v/>
      </c>
    </row>
    <row r="60" ht="20" customHeight="1">
      <c r="B60" s="24" t="inlineStr">
        <is>
          <t>SCN_capex_rub_t0</t>
        </is>
      </c>
      <c r="C60" s="13">
        <f>$C$35</f>
        <v/>
      </c>
      <c r="D60" s="13">
        <f>$C$35</f>
        <v/>
      </c>
      <c r="E60" s="13">
        <f>D60-C60</f>
        <v/>
      </c>
    </row>
    <row r="61" ht="20" customHeight="1">
      <c r="B61" s="24" t="inlineStr">
        <is>
          <t>SCN_annual_savings</t>
        </is>
      </c>
      <c r="C61" s="13">
        <f>(($C$30*$C$28*$C$29*$C$32)-((C58*$C$28*$C$29*C59)+$C$34))*12</f>
        <v/>
      </c>
      <c r="D61" s="13">
        <f>(($C$30*$C$28*$C$29*$C$32)-((D58*$C$28*$C$29*D59)+$C$34))*12</f>
        <v/>
      </c>
      <c r="E61" s="13">
        <f>D61-C61</f>
        <v/>
      </c>
    </row>
    <row r="62" ht="20" customHeight="1">
      <c r="B62" s="24" t="inlineStr">
        <is>
          <t>SCN_NPV</t>
        </is>
      </c>
      <c r="C62" s="13">
        <f>-C60+NPV($C$26,C61,C61,C61,C61,C61)</f>
        <v/>
      </c>
      <c r="D62" s="13">
        <f>-D60+NPV($C$26,D61,D61,D61,D61,D61)</f>
        <v/>
      </c>
      <c r="E62" s="13">
        <f>D62-C62</f>
        <v/>
      </c>
    </row>
    <row r="63" ht="20" customHeight="1">
      <c r="B63" s="24" t="inlineStr">
        <is>
          <t>SCN_IRR</t>
        </is>
      </c>
      <c r="C63" s="11">
        <f>IFERROR(IRR(CHOOSE({1,2,3,4,5,6},-C60,C61,C61,C61,C61,C61)),"N/A")</f>
        <v/>
      </c>
      <c r="D63" s="11">
        <f>IFERROR(IRR(CHOOSE({1,2,3,4,5,6},-D60,D61,D61,D61,D61,D61)),"N/A")</f>
        <v/>
      </c>
      <c r="E63" s="11">
        <f>IFERROR(D63-C63,"N/A")</f>
        <v/>
      </c>
    </row>
    <row r="64" ht="20" customHeight="1">
      <c r="B64" s="24" t="inlineStr">
        <is>
          <t>SCN_DPP_years</t>
        </is>
      </c>
      <c r="C64" s="18">
        <f>IF(C61&lt;=0,"N/A",IF(NPV($C$26,C61,C61,C61,C61,C61)&lt;$C$35,"N/A",LET(c1,C61/(1+$C$26),c2,C61/(1+$C$26)^2,c3,C61/(1+$C$26)^3,c4,C61/(1+$C$26)^4,c5,C61/(1+$C$26)^5,s1,c1,s2,c1+c2,s3,c1+c2+c3,s4,c1+c2+c3+c4,IF(s1&gt;=$C$35,$C$35/c1,IF(s2&gt;=$C$35,1+($C$35-s1)/c2,IF(s3&gt;=$C$35,2+($C$35-s2)/c3,IF(s4&gt;=$C$35,3+($C$35-s3)/c4,4+($C$35-s4)/c5)))))))</f>
        <v/>
      </c>
      <c r="D64" s="18">
        <f>IF(D61&lt;=0,"N/A",IF(NPV($C$26,D61,D61,D61,D61,D61)&lt;$C$35,"N/A",LET(c1,D61/(1+$C$26),c2,D61/(1+$C$26)^2,c3,D61/(1+$C$26)^3,c4,D61/(1+$C$26)^4,c5,D61/(1+$C$26)^5,s1,c1,s2,c1+c2,s3,c1+c2+c3,s4,c1+c2+c3+c4,IF(s1&gt;=$C$35,$C$35/c1,IF(s2&gt;=$C$35,1+($C$35-s1)/c2,IF(s3&gt;=$C$35,2+($C$35-s2)/c3,IF(s4&gt;=$C$35,3+($C$35-s3)/c4,4+($C$35-s4)/c5)))))))</f>
        <v/>
      </c>
      <c r="E64" s="18">
        <f>IFERROR(D64-C64,"N/A")</f>
        <v/>
      </c>
    </row>
    <row r="65" ht="20" customHeight="1">
      <c r="B65" s="24" t="inlineStr">
        <is>
          <t>SCN_decision</t>
        </is>
      </c>
      <c r="C65" s="25">
        <f>IF(AND(C62&gt;0,IFERROR(C63,0)&gt;$C$26),"ПРИНИМАТЬ","ОТКЛОНИТЬ")</f>
        <v/>
      </c>
      <c r="D65" s="26">
        <f>IF(AND(D62&gt;0,IFERROR(D63,0)&gt;$C$26),"ПРИНИМАТЬ","ОТКЛОНИТЬ")</f>
        <v/>
      </c>
      <c r="E65" s="27">
        <f>IF(C65=D65,"без изменения","разные")</f>
        <v/>
      </c>
    </row>
    <row r="66" ht="20" customHeight="1"/>
    <row r="67" ht="20" customHeight="1"/>
    <row r="68" ht="20" customHeight="1">
      <c r="B68" s="10" t="inlineStr">
        <is>
          <t>IN_scn2_price_uplift_pct</t>
        </is>
      </c>
      <c r="C68" s="11" t="n">
        <v>0.05</v>
      </c>
    </row>
    <row r="69" ht="20" customHeight="1">
      <c r="B69" s="10" t="inlineStr">
        <is>
          <t>IN_scn2_freq_uplift_abs</t>
        </is>
      </c>
      <c r="C69" s="18" t="n">
        <v>0.1</v>
      </c>
    </row>
    <row r="70" ht="20" customHeight="1">
      <c r="B70" s="20" t="inlineStr">
        <is>
          <t>RECALC_MAPPING_BLOCK</t>
        </is>
      </c>
    </row>
    <row r="71" ht="20" customHeight="1">
      <c r="B71" t="inlineStr">
        <is>
          <t>year</t>
        </is>
      </c>
      <c r="D71" s="12" t="n">
        <v>0</v>
      </c>
      <c r="E71" s="12" t="n">
        <v>1</v>
      </c>
      <c r="F71" s="12" t="n">
        <v>2</v>
      </c>
      <c r="G71" s="12" t="n">
        <v>3</v>
      </c>
      <c r="H71" s="12" t="n">
        <v>4</v>
      </c>
      <c r="I71" s="12" t="n">
        <v>5</v>
      </c>
    </row>
    <row r="72" ht="20" customHeight="1">
      <c r="B72" t="inlineStr">
        <is>
          <t>ebit</t>
        </is>
      </c>
      <c r="D72" s="12" t="n">
        <v>0</v>
      </c>
      <c r="E72" s="12" t="n">
        <v>6600000</v>
      </c>
      <c r="F72" s="12" t="n">
        <v>6600000</v>
      </c>
      <c r="G72" s="12" t="n">
        <v>6600000</v>
      </c>
      <c r="H72" s="12" t="n">
        <v>6600000</v>
      </c>
      <c r="I72" s="12" t="n">
        <v>6600000</v>
      </c>
    </row>
    <row r="73" ht="20" customHeight="1">
      <c r="B73" t="inlineStr">
        <is>
          <t>tax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</row>
    <row r="74" ht="20" customHeight="1">
      <c r="B74" t="inlineStr">
        <is>
          <t>delta_ar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</row>
    <row r="75" ht="20" customHeight="1">
      <c r="B75" t="inlineStr">
        <is>
          <t>delta_ap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</row>
    <row r="76" ht="20" customHeight="1">
      <c r="B76" t="inlineStr">
        <is>
          <t>capex</t>
        </is>
      </c>
      <c r="D76" s="12" t="n">
        <v>12500000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</row>
    <row r="77" ht="20" customHeight="1">
      <c r="B77" t="inlineStr">
        <is>
          <t>interest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</row>
    <row r="78" ht="20" customHeight="1">
      <c r="B78" t="inlineStr">
        <is>
          <t>debt_draw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</row>
    <row r="79" ht="20" customHeight="1">
      <c r="B79" t="inlineStr">
        <is>
          <t>debt_repay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</row>
    <row r="80" ht="20" customHeight="1">
      <c r="B80" t="inlineStr">
        <is>
          <t>dividends</t>
        </is>
      </c>
      <c r="D80" s="12" t="n">
        <v>0</v>
      </c>
      <c r="E80" s="12" t="n">
        <v>6600000</v>
      </c>
      <c r="F80" s="12" t="n">
        <v>6600000</v>
      </c>
      <c r="G80" s="12" t="n">
        <v>6600000</v>
      </c>
      <c r="H80" s="12" t="n">
        <v>6600000</v>
      </c>
      <c r="I80" s="12" t="n">
        <v>6600000</v>
      </c>
    </row>
    <row r="81" ht="20" customHeight="1">
      <c r="B81" t="inlineStr">
        <is>
          <t>equity_in</t>
        </is>
      </c>
      <c r="D81" s="12" t="n">
        <v>12500000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</row>
    <row r="82" ht="20" customHeight="1">
      <c r="B82" t="inlineStr">
        <is>
          <t>discount_rate</t>
        </is>
      </c>
      <c r="D82" s="12" t="n">
        <v>0.15</v>
      </c>
      <c r="E82" s="12" t="n">
        <v>0.15</v>
      </c>
      <c r="F82" s="12" t="n">
        <v>0.15</v>
      </c>
      <c r="G82" s="12" t="n">
        <v>0.15</v>
      </c>
      <c r="H82" s="12" t="n">
        <v>0.15</v>
      </c>
      <c r="I82" s="12" t="n">
        <v>0.15</v>
      </c>
    </row>
    <row r="83" ht="20" customHeight="1"/>
    <row r="84" ht="20" customHeight="1">
      <c r="B84" t="inlineStr">
        <is>
          <t>CTRL_balance_identity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</row>
    <row r="85" ht="20" customHeight="1">
      <c r="B85" t="inlineStr">
        <is>
          <t>CTRL_cash_bridge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</row>
    <row r="86" ht="20" customHeight="1">
      <c r="B86" t="inlineStr">
        <is>
          <t>CTRL_dividend_lock_status</t>
        </is>
      </c>
      <c r="C86" t="inlineStr">
        <is>
          <t>OK</t>
        </is>
      </c>
    </row>
    <row r="87" ht="20" customHeight="1"/>
    <row r="88" ht="20" customHeight="1"/>
    <row r="89" ht="20" customHeight="1"/>
    <row r="90" ht="20" customHeight="1">
      <c r="B90" t="inlineStr">
        <is>
          <t>SENSITIVITY_PRICE (freq fixed at base)</t>
        </is>
      </c>
    </row>
    <row r="91" ht="20" customHeight="1">
      <c r="B91" s="12" t="inlineStr">
        <is>
          <t>price_project</t>
        </is>
      </c>
      <c r="C91" s="12" t="inlineStr">
        <is>
          <t>annual_savings</t>
        </is>
      </c>
      <c r="D91" s="12" t="inlineStr">
        <is>
          <t>NPV</t>
        </is>
      </c>
      <c r="E91" s="12" t="inlineStr">
        <is>
          <t>IRR</t>
        </is>
      </c>
      <c r="F91" s="12" t="inlineStr">
        <is>
          <t>DPP</t>
        </is>
      </c>
    </row>
    <row r="92" ht="20" customHeight="1">
      <c r="B92" s="13" t="n">
        <v>180</v>
      </c>
      <c r="C92" s="14">
        <f>(($C$30*$C$28*$C$29*$C$32)-(($C$31*$C$28*$C$29*B92)+$C$34))*12</f>
        <v/>
      </c>
      <c r="D92" s="14">
        <f>-$C$35+NPV($C$26,C92,C92,C92,C92,C92)</f>
        <v/>
      </c>
      <c r="E92" s="11">
        <f>IFERROR(IRR(CHOOSE({1,2,3,4,5,6},-$C$35,C92,C92,C92,C92,C92)),"N/A")</f>
        <v/>
      </c>
      <c r="F92" s="18">
        <f>IF(C92&lt;=0,"N/A",IF(NPV($C$26,C92,C92,C92,C92,C92)&lt;$C$35,"N/A",LET(c1,C92/(1+$C$26),c2,C92/(1+$C$26)^2,c3,C92/(1+$C$26)^3,c4,C92/(1+$C$26)^4,c5,C92/(1+$C$26)^5,s1,c1,s2,c1+c2,s3,c1+c2+c3,s4,c1+c2+c3+c4,IF(s1&gt;=$C$35,$C$35/c1,IF(s2&gt;=$C$35,1+($C$35-s1)/c2,IF(s3&gt;=$C$35,2+($C$35-s2)/c3,IF(s4&gt;=$C$35,3+($C$35-s3)/c4,4+($C$35-s4)/c5)))))))</f>
        <v/>
      </c>
    </row>
    <row r="93" ht="20" customHeight="1">
      <c r="B93" s="13" t="n">
        <v>190</v>
      </c>
      <c r="C93" s="14">
        <f>(($C$30*$C$28*$C$29*$C$32)-(($C$31*$C$28*$C$29*B93)+$C$34))*12</f>
        <v/>
      </c>
      <c r="D93" s="14">
        <f>-$C$35+NPV($C$26,C93,C93,C93,C93,C93)</f>
        <v/>
      </c>
      <c r="E93" s="11">
        <f>IFERROR(IRR(CHOOSE({1,2,3,4,5,6},-$C$35,C93,C93,C93,C93,C93)),"N/A")</f>
        <v/>
      </c>
      <c r="F93" s="18">
        <f>IF(C93&lt;=0,"N/A",IF(NPV($C$26,C93,C93,C93,C93,C93)&lt;$C$35,"N/A",LET(c1,C93/(1+$C$26),c2,C93/(1+$C$26)^2,c3,C93/(1+$C$26)^3,c4,C93/(1+$C$26)^4,c5,C93/(1+$C$26)^5,s1,c1,s2,c1+c2,s3,c1+c2+c3,s4,c1+c2+c3+c4,IF(s1&gt;=$C$35,$C$35/c1,IF(s2&gt;=$C$35,1+($C$35-s1)/c2,IF(s3&gt;=$C$35,2+($C$35-s2)/c3,IF(s4&gt;=$C$35,3+($C$35-s3)/c4,4+($C$35-s4)/c5)))))))</f>
        <v/>
      </c>
    </row>
    <row r="94" ht="20" customHeight="1">
      <c r="B94" s="13" t="n">
        <v>200</v>
      </c>
      <c r="C94" s="14">
        <f>(($C$30*$C$28*$C$29*$C$32)-(($C$31*$C$28*$C$29*B94)+$C$34))*12</f>
        <v/>
      </c>
      <c r="D94" s="14">
        <f>-$C$35+NPV($C$26,C94,C94,C94,C94,C94)</f>
        <v/>
      </c>
      <c r="E94" s="11">
        <f>IFERROR(IRR(CHOOSE({1,2,3,4,5,6},-$C$35,C94,C94,C94,C94,C94)),"N/A")</f>
        <v/>
      </c>
      <c r="F94" s="18">
        <f>IF(C94&lt;=0,"N/A",IF(NPV($C$26,C94,C94,C94,C94,C94)&lt;$C$35,"N/A",LET(c1,C94/(1+$C$26),c2,C94/(1+$C$26)^2,c3,C94/(1+$C$26)^3,c4,C94/(1+$C$26)^4,c5,C94/(1+$C$26)^5,s1,c1,s2,c1+c2,s3,c1+c2+c3,s4,c1+c2+c3+c4,IF(s1&gt;=$C$35,$C$35/c1,IF(s2&gt;=$C$35,1+($C$35-s1)/c2,IF(s3&gt;=$C$35,2+($C$35-s2)/c3,IF(s4&gt;=$C$35,3+($C$35-s3)/c4,4+($C$35-s4)/c5)))))))</f>
        <v/>
      </c>
    </row>
    <row r="95" ht="20" customHeight="1">
      <c r="B95" s="13" t="n">
        <v>210</v>
      </c>
      <c r="C95" s="14">
        <f>(($C$30*$C$28*$C$29*$C$32)-(($C$31*$C$28*$C$29*B95)+$C$34))*12</f>
        <v/>
      </c>
      <c r="D95" s="14">
        <f>-$C$35+NPV($C$26,C95,C95,C95,C95,C95)</f>
        <v/>
      </c>
      <c r="E95" s="11">
        <f>IFERROR(IRR(CHOOSE({1,2,3,4,5,6},-$C$35,C95,C95,C95,C95,C95)),"N/A")</f>
        <v/>
      </c>
      <c r="F95" s="18">
        <f>IF(C95&lt;=0,"N/A",IF(NPV($C$26,C95,C95,C95,C95,C95)&lt;$C$35,"N/A",LET(c1,C95/(1+$C$26),c2,C95/(1+$C$26)^2,c3,C95/(1+$C$26)^3,c4,C95/(1+$C$26)^4,c5,C95/(1+$C$26)^5,s1,c1,s2,c1+c2,s3,c1+c2+c3,s4,c1+c2+c3+c4,IF(s1&gt;=$C$35,$C$35/c1,IF(s2&gt;=$C$35,1+($C$35-s1)/c2,IF(s3&gt;=$C$35,2+($C$35-s2)/c3,IF(s4&gt;=$C$35,3+($C$35-s3)/c4,4+($C$35-s4)/c5)))))))</f>
        <v/>
      </c>
    </row>
    <row r="96" ht="20" customHeight="1">
      <c r="B96" s="13" t="n">
        <v>215</v>
      </c>
      <c r="C96" s="14">
        <f>(($C$30*$C$28*$C$29*$C$32)-(($C$31*$C$28*$C$29*B96)+$C$34))*12</f>
        <v/>
      </c>
      <c r="D96" s="14">
        <f>-$C$35+NPV($C$26,C96,C96,C96,C96,C96)</f>
        <v/>
      </c>
      <c r="E96" s="11">
        <f>IFERROR(IRR(CHOOSE({1,2,3,4,5,6},-$C$35,C96,C96,C96,C96,C96)),"N/A")</f>
        <v/>
      </c>
      <c r="F96" s="12">
        <f>IF(C96&lt;=0,"N/A",IF(NPV($C$26,C96,C96,C96,C96,C96)&lt;$C$35,"N/A",LET(c1,C96/(1+$C$26),c2,C96/(1+$C$26)^2,c3,C96/(1+$C$26)^3,c4,C96/(1+$C$26)^4,c5,C96/(1+$C$26)^5,s1,c1,s2,c1+c2,s3,c1+c2+c3,s4,c1+c2+c3+c4,IF(s1&gt;=$C$35,$C$35/c1,IF(s2&gt;=$C$35,1+($C$35-s1)/c2,IF(s3&gt;=$C$35,2+($C$35-s2)/c3,IF(s4&gt;=$C$35,3+($C$35-s3)/c4,4+($C$35-s4)/c5)))))))</f>
        <v/>
      </c>
    </row>
    <row r="97" ht="20" customHeight="1">
      <c r="B97" s="13" t="n">
        <v>220</v>
      </c>
      <c r="C97" s="14">
        <f>(($C$30*$C$28*$C$29*$C$32)-(($C$31*$C$28*$C$29*B97)+$C$34))*12</f>
        <v/>
      </c>
      <c r="D97" s="14">
        <f>-$C$35+NPV($C$26,C97,C97,C97,C97,C97)</f>
        <v/>
      </c>
      <c r="E97" s="12">
        <f>IFERROR(IRR(CHOOSE({1,2,3,4,5,6},-$C$35,C97,C97,C97,C97,C97)),"N/A")</f>
        <v/>
      </c>
      <c r="F97" s="12">
        <f>IF(C97&lt;=0,"N/A",IF(NPV($C$26,C97,C97,C97,C97,C97)&lt;$C$35,"N/A",LET(c1,C97/(1+$C$26),c2,C97/(1+$C$26)^2,c3,C97/(1+$C$26)^3,c4,C97/(1+$C$26)^4,c5,C97/(1+$C$26)^5,s1,c1,s2,c1+c2,s3,c1+c2+c3,s4,c1+c2+c3+c4,IF(s1&gt;=$C$35,$C$35/c1,IF(s2&gt;=$C$35,1+($C$35-s1)/c2,IF(s3&gt;=$C$35,2+($C$35-s2)/c3,IF(s4&gt;=$C$35,3+($C$35-s3)/c4,4+($C$35-s4)/c5)))))))</f>
        <v/>
      </c>
    </row>
    <row r="98" ht="20" customHeight="1"/>
    <row r="99" ht="20" customHeight="1"/>
    <row r="100" ht="20" customHeight="1">
      <c r="B100" t="inlineStr">
        <is>
          <t>SENSITIVITY_INTERVAL (price fixed at base)</t>
        </is>
      </c>
    </row>
    <row r="101" ht="20" customHeight="1">
      <c r="B101" s="12" t="inlineStr">
        <is>
          <t>freq_project</t>
        </is>
      </c>
      <c r="C101" s="12" t="inlineStr">
        <is>
          <t>annual_savings</t>
        </is>
      </c>
      <c r="D101" s="12" t="inlineStr">
        <is>
          <t>NPV</t>
        </is>
      </c>
      <c r="E101" s="12" t="inlineStr">
        <is>
          <t>IRR</t>
        </is>
      </c>
      <c r="F101" s="12" t="inlineStr">
        <is>
          <t>DPP</t>
        </is>
      </c>
    </row>
    <row r="102" ht="20" customHeight="1">
      <c r="B102" s="18" t="n">
        <v>1.75</v>
      </c>
      <c r="C102" s="14">
        <f>(($C$30*$C$28*$C$29*$C$32)-((B102*$C$28*$C$29*$C$33)+$C$34))*12</f>
        <v/>
      </c>
      <c r="D102" s="14">
        <f>-$C$35+NPV($C$26,C102,C102,C102,C102,C102)</f>
        <v/>
      </c>
      <c r="E102" s="11">
        <f>IFERROR(IRR(CHOOSE({1,2,3,4,5,6},-$C$35,C102,C102,C102,C102,C102)),"N/A")</f>
        <v/>
      </c>
      <c r="F102" s="18">
        <f>IF(C102&lt;=0,"N/A",IF(NPV($C$26,C102,C102,C102,C102,C102)&lt;$C$35,"N/A",LET(c1,C102/(1+$C$26),c2,C102/(1+$C$26)^2,c3,C102/(1+$C$26)^3,c4,C102/(1+$C$26)^4,c5,C102/(1+$C$26)^5,s1,c1,s2,c1+c2,s3,c1+c2+c3,s4,c1+c2+c3+c4,IF(s1&gt;=$C$35,$C$35/c1,IF(s2&gt;=$C$35,1+($C$35-s1)/c2,IF(s3&gt;=$C$35,2+($C$35-s2)/c3,IF(s4&gt;=$C$35,3+($C$35-s3)/c4,4+($C$35-s4)/c5)))))))</f>
        <v/>
      </c>
    </row>
    <row r="103" ht="20" customHeight="1">
      <c r="B103" s="18" t="n">
        <v>1.9</v>
      </c>
      <c r="C103" s="14">
        <f>(($C$30*$C$28*$C$29*$C$32)-((B103*$C$28*$C$29*$C$33)+$C$34))*12</f>
        <v/>
      </c>
      <c r="D103" s="14">
        <f>-$C$35+NPV($C$26,C103,C103,C103,C103,C103)</f>
        <v/>
      </c>
      <c r="E103" s="11">
        <f>IFERROR(IRR(CHOOSE({1,2,3,4,5,6},-$C$35,C103,C103,C103,C103,C103)),"N/A")</f>
        <v/>
      </c>
      <c r="F103" s="18">
        <f>IF(C103&lt;=0,"N/A",IF(NPV($C$26,C103,C103,C103,C103,C103)&lt;$C$35,"N/A",LET(c1,C103/(1+$C$26),c2,C103/(1+$C$26)^2,c3,C103/(1+$C$26)^3,c4,C103/(1+$C$26)^4,c5,C103/(1+$C$26)^5,s1,c1,s2,c1+c2,s3,c1+c2+c3,s4,c1+c2+c3+c4,IF(s1&gt;=$C$35,$C$35/c1,IF(s2&gt;=$C$35,1+($C$35-s1)/c2,IF(s3&gt;=$C$35,2+($C$35-s2)/c3,IF(s4&gt;=$C$35,3+($C$35-s3)/c4,4+($C$35-s4)/c5)))))))</f>
        <v/>
      </c>
    </row>
    <row r="104" ht="20" customHeight="1">
      <c r="B104" s="18" t="n">
        <v>2</v>
      </c>
      <c r="C104" s="14">
        <f>(($C$30*$C$28*$C$29*$C$32)-((B104*$C$28*$C$29*$C$33)+$C$34))*12</f>
        <v/>
      </c>
      <c r="D104" s="14">
        <f>-$C$35+NPV($C$26,C104,C104,C104,C104,C104)</f>
        <v/>
      </c>
      <c r="E104" s="11">
        <f>IFERROR(IRR(CHOOSE({1,2,3,4,5,6},-$C$35,C104,C104,C104,C104,C104)),"N/A")</f>
        <v/>
      </c>
      <c r="F104" s="18">
        <f>IF(C104&lt;=0,"N/A",IF(NPV($C$26,C104,C104,C104,C104,C104)&lt;$C$35,"N/A",LET(c1,C104/(1+$C$26),c2,C104/(1+$C$26)^2,c3,C104/(1+$C$26)^3,c4,C104/(1+$C$26)^4,c5,C104/(1+$C$26)^5,s1,c1,s2,c1+c2,s3,c1+c2+c3,s4,c1+c2+c3+c4,IF(s1&gt;=$C$35,$C$35/c1,IF(s2&gt;=$C$35,1+($C$35-s1)/c2,IF(s3&gt;=$C$35,2+($C$35-s2)/c3,IF(s4&gt;=$C$35,3+($C$35-s3)/c4,4+($C$35-s4)/c5)))))))</f>
        <v/>
      </c>
    </row>
    <row r="105" ht="20" customHeight="1">
      <c r="B105" s="18" t="n">
        <v>2.1</v>
      </c>
      <c r="C105" s="14">
        <f>(($C$30*$C$28*$C$29*$C$32)-((B105*$C$28*$C$29*$C$33)+$C$34))*12</f>
        <v/>
      </c>
      <c r="D105" s="14">
        <f>-$C$35+NPV($C$26,C105,C105,C105,C105,C105)</f>
        <v/>
      </c>
      <c r="E105" s="11">
        <f>IFERROR(IRR(CHOOSE({1,2,3,4,5,6},-$C$35,C105,C105,C105,C105,C105)),"N/A")</f>
        <v/>
      </c>
      <c r="F105" s="18">
        <f>IF(C105&lt;=0,"N/A",IF(NPV($C$26,C105,C105,C105,C105,C105)&lt;$C$35,"N/A",LET(c1,C105/(1+$C$26),c2,C105/(1+$C$26)^2,c3,C105/(1+$C$26)^3,c4,C105/(1+$C$26)^4,c5,C105/(1+$C$26)^5,s1,c1,s2,c1+c2,s3,c1+c2+c3,s4,c1+c2+c3+c4,IF(s1&gt;=$C$35,$C$35/c1,IF(s2&gt;=$C$35,1+($C$35-s1)/c2,IF(s3&gt;=$C$35,2+($C$35-s2)/c3,IF(s4&gt;=$C$35,3+($C$35-s3)/c4,4+($C$35-s4)/c5)))))))</f>
        <v/>
      </c>
    </row>
    <row r="106" ht="20" customHeight="1">
      <c r="B106" s="18" t="n">
        <v>2.15</v>
      </c>
      <c r="C106" s="14">
        <f>(($C$30*$C$28*$C$29*$C$32)-((B106*$C$28*$C$29*$C$33)+$C$34))*12</f>
        <v/>
      </c>
      <c r="D106" s="14">
        <f>-$C$35+NPV($C$26,C106,C106,C106,C106,C106)</f>
        <v/>
      </c>
      <c r="E106" s="11">
        <f>IFERROR(IRR(CHOOSE({1,2,3,4,5,6},-$C$35,C106,C106,C106,C106,C106)),"N/A")</f>
        <v/>
      </c>
      <c r="F106" s="12">
        <f>IF(C106&lt;=0,"N/A",IF(NPV($C$26,C106,C106,C106,C106,C106)&lt;$C$35,"N/A",LET(c1,C106/(1+$C$26),c2,C106/(1+$C$26)^2,c3,C106/(1+$C$26)^3,c4,C106/(1+$C$26)^4,c5,C106/(1+$C$26)^5,s1,c1,s2,c1+c2,s3,c1+c2+c3,s4,c1+c2+c3+c4,IF(s1&gt;=$C$35,$C$35/c1,IF(s2&gt;=$C$35,1+($C$35-s1)/c2,IF(s3&gt;=$C$35,2+($C$35-s2)/c3,IF(s4&gt;=$C$35,3+($C$35-s3)/c4,4+($C$35-s4)/c5)))))))</f>
        <v/>
      </c>
    </row>
    <row r="107" ht="20" customHeight="1">
      <c r="B107" s="18" t="n">
        <v>2.25</v>
      </c>
      <c r="C107" s="14">
        <f>(($C$30*$C$28*$C$29*$C$32)-((B107*$C$28*$C$29*$C$33)+$C$34))*12</f>
        <v/>
      </c>
      <c r="D107" s="14">
        <f>-$C$35+NPV($C$26,C107,C107,C107,C107,C107)</f>
        <v/>
      </c>
      <c r="E107" s="12">
        <f>IFERROR(IRR(CHOOSE({1,2,3,4,5,6},-$C$35,C107,C107,C107,C107,C107)),"N/A")</f>
        <v/>
      </c>
      <c r="F107" s="12">
        <f>IF(C107&lt;=0,"N/A",IF(NPV($C$26,C107,C107,C107,C107,C107)&lt;$C$35,"N/A",LET(c1,C107/(1+$C$26),c2,C107/(1+$C$26)^2,c3,C107/(1+$C$26)^3,c4,C107/(1+$C$26)^4,c5,C107/(1+$C$26)^5,s1,c1,s2,c1+c2,s3,c1+c2+c3,s4,c1+c2+c3+c4,IF(s1&gt;=$C$35,$C$35/c1,IF(s2&gt;=$C$35,1+($C$35-s1)/c2,IF(s3&gt;=$C$35,2+($C$35-s2)/c3,IF(s4&gt;=$C$35,3+($C$35-s3)/c4,4+($C$35-s4)/c5)))))))</f>
        <v/>
      </c>
    </row>
    <row r="108" ht="20" customHeight="1"/>
    <row r="109" ht="20" customHeight="1"/>
    <row r="110" ht="20" customHeight="1"/>
    <row r="111" ht="20" customHeight="1"/>
    <row r="112" ht="20" customHeight="1">
      <c r="B112" t="inlineStr">
        <is>
          <t>TORNADO_NPV</t>
        </is>
      </c>
    </row>
    <row r="113" ht="20" customHeight="1">
      <c r="B113" s="12" t="inlineStr">
        <is>
          <t>factor</t>
        </is>
      </c>
      <c r="C113" s="12" t="inlineStr">
        <is>
          <t>low</t>
        </is>
      </c>
      <c r="D113" s="12" t="inlineStr">
        <is>
          <t>high</t>
        </is>
      </c>
      <c r="E113" s="12" t="inlineStr">
        <is>
          <t>npv_low</t>
        </is>
      </c>
      <c r="F113" s="12" t="inlineStr">
        <is>
          <t>npv_high</t>
        </is>
      </c>
      <c r="G113" s="12" t="inlineStr">
        <is>
          <t>delta_low_vs_base</t>
        </is>
      </c>
      <c r="H113" s="12" t="inlineStr">
        <is>
          <t>delta_high_vs_base</t>
        </is>
      </c>
      <c r="I113" s="12" t="inlineStr">
        <is>
          <t>swing_abs</t>
        </is>
      </c>
    </row>
    <row r="114" ht="20" customHeight="1">
      <c r="B114" s="12" t="inlineStr">
        <is>
          <t>freq_project</t>
        </is>
      </c>
      <c r="C114" s="12" t="n">
        <v>1.75</v>
      </c>
      <c r="D114" s="12" t="n">
        <v>2.15</v>
      </c>
      <c r="E114" s="14">
        <f>INDEX($D$102:$D$107,MATCH(C114,$B$102:$B$107,0))</f>
        <v/>
      </c>
      <c r="F114" s="14">
        <f>INDEX($D$102:$D$107,MATCH(D114,$B$102:$B$107,0))</f>
        <v/>
      </c>
      <c r="G114" s="14">
        <f>E114-$C$48</f>
        <v/>
      </c>
      <c r="H114" s="14">
        <f>F114-$C$48</f>
        <v/>
      </c>
      <c r="I114" s="14">
        <f>ABS(F114-E114)</f>
        <v/>
      </c>
    </row>
    <row r="115" ht="20" customHeight="1">
      <c r="B115" s="12" t="inlineStr">
        <is>
          <t>price_project</t>
        </is>
      </c>
      <c r="C115" s="12" t="n">
        <v>180</v>
      </c>
      <c r="D115" s="12" t="n">
        <v>215</v>
      </c>
      <c r="E115" s="14">
        <f>INDEX($D$92:$D$97,MATCH(C115,$B$92:$B$97,0))</f>
        <v/>
      </c>
      <c r="F115" s="14">
        <f>INDEX($D$92:$D$97,MATCH(D115,$B$92:$B$97,0))</f>
        <v/>
      </c>
      <c r="G115" s="14">
        <f>E115-$C$48</f>
        <v/>
      </c>
      <c r="H115" s="14">
        <f>F115-$C$48</f>
        <v/>
      </c>
      <c r="I115" s="14">
        <f>ABS(F115-E115)</f>
        <v/>
      </c>
    </row>
    <row r="116" ht="20" customHeight="1"/>
    <row r="117" ht="20" customHeight="1"/>
    <row r="118" ht="20" customHeight="1">
      <c r="B118" t="inlineStr">
        <is>
          <t>TORNADO_IRR</t>
        </is>
      </c>
    </row>
    <row r="119" ht="20" customHeight="1">
      <c r="B119" s="12" t="inlineStr">
        <is>
          <t>factor</t>
        </is>
      </c>
      <c r="C119" s="12" t="inlineStr">
        <is>
          <t>low</t>
        </is>
      </c>
      <c r="D119" s="12" t="inlineStr">
        <is>
          <t>high</t>
        </is>
      </c>
      <c r="E119" s="12" t="inlineStr">
        <is>
          <t>irr_low</t>
        </is>
      </c>
      <c r="F119" s="12" t="inlineStr">
        <is>
          <t>irr_high</t>
        </is>
      </c>
      <c r="G119" s="12" t="inlineStr">
        <is>
          <t>delta_low_vs_base</t>
        </is>
      </c>
      <c r="H119" s="12" t="inlineStr">
        <is>
          <t>delta_high_vs_base</t>
        </is>
      </c>
      <c r="I119" s="12" t="inlineStr">
        <is>
          <t>swing_abs</t>
        </is>
      </c>
    </row>
    <row r="120" ht="20" customHeight="1">
      <c r="B120" s="12" t="inlineStr">
        <is>
          <t>freq_project</t>
        </is>
      </c>
      <c r="C120" s="12" t="n">
        <v>1.75</v>
      </c>
      <c r="D120" s="12" t="n">
        <v>2.15</v>
      </c>
      <c r="E120" s="11">
        <f>INDEX($E$102:$E$107,MATCH(C120,$B$102:$B$107,0))</f>
        <v/>
      </c>
      <c r="F120" s="11">
        <f>INDEX($E$102:$E$107,MATCH(D120,$B$102:$B$107,0))</f>
        <v/>
      </c>
      <c r="G120" s="11">
        <f>IFERROR(E120-$C$49,"N/A")</f>
        <v/>
      </c>
      <c r="H120" s="11">
        <f>IFERROR(F120-$C$49,"N/A")</f>
        <v/>
      </c>
      <c r="I120" s="11">
        <f>IFERROR(ABS(F120-E120),"N/A")</f>
        <v/>
      </c>
    </row>
    <row r="121" ht="20" customHeight="1">
      <c r="B121" s="12" t="inlineStr">
        <is>
          <t>price_project</t>
        </is>
      </c>
      <c r="C121" s="12" t="n">
        <v>180</v>
      </c>
      <c r="D121" s="12" t="n">
        <v>215</v>
      </c>
      <c r="E121" s="11">
        <f>INDEX($E$92:$E$97,MATCH(C121,$B$92:$B$97,0))</f>
        <v/>
      </c>
      <c r="F121" s="11">
        <f>INDEX($E$92:$E$97,MATCH(D121,$B$92:$B$97,0))</f>
        <v/>
      </c>
      <c r="G121" s="11">
        <f>IFERROR(E121-$C$49,"N/A")</f>
        <v/>
      </c>
      <c r="H121" s="11">
        <f>IFERROR(F121-$C$49,"N/A")</f>
        <v/>
      </c>
      <c r="I121" s="11">
        <f>IFERROR(ABS(F121-E121),"N/A")</f>
        <v/>
      </c>
    </row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</sheetData>
  <mergeCells count="1">
    <mergeCell ref="B1:G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Сергей Чернов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2026-03-01T17:29:55+00:00Z</dcterms:modified>
  <cp:lastModifiedBy>Sergey Chernov</cp:lastModifiedBy>
</cp:coreProperties>
</file>