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Лист1" sheetId="1" state="visible" r:id="rId1"/>
  </sheets>
  <definedNames/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i val="1"/>
      <color theme="1"/>
      <sz val="11"/>
      <scheme val="minor"/>
    </font>
    <font>
      <name val="Calibri"/>
      <charset val="204"/>
      <family val="2"/>
      <b val="1"/>
      <i val="1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pivotButton="0" quotePrefix="0" xfId="0"/>
    <xf numFmtId="0" fontId="1" fillId="0" borderId="0" pivotButton="0" quotePrefix="0" xfId="1"/>
    <xf numFmtId="0" fontId="3" fillId="0" borderId="0" applyAlignment="1" pivotButton="0" quotePrefix="0" xfId="1">
      <alignment horizontal="center"/>
    </xf>
    <xf numFmtId="0" fontId="2" fillId="0" borderId="0" pivotButton="0" quotePrefix="0" xfId="1"/>
    <xf numFmtId="0" fontId="4" fillId="0" borderId="0" applyAlignment="1" pivotButton="0" quotePrefix="0" xfId="1">
      <alignment horizontal="center"/>
    </xf>
    <xf numFmtId="0" fontId="2" fillId="2" borderId="0" pivotButton="0" quotePrefix="0" xfId="1"/>
    <xf numFmtId="0" fontId="4" fillId="2" borderId="0" applyAlignment="1" pivotButton="0" quotePrefix="0" xfId="1">
      <alignment horizontal="center"/>
    </xf>
    <xf numFmtId="9" fontId="1" fillId="0" borderId="0" pivotButton="0" quotePrefix="0" xfId="1"/>
    <xf numFmtId="0" fontId="3" fillId="0" borderId="0" pivotButton="0" quotePrefix="0" xfId="1"/>
    <xf numFmtId="9" fontId="3" fillId="0" borderId="0" pivotButton="0" quotePrefix="0" xfId="1"/>
    <xf numFmtId="1" fontId="1" fillId="0" borderId="0" pivotButton="0" quotePrefix="0" xfId="1"/>
    <xf numFmtId="0" fontId="3" fillId="2" borderId="0" applyAlignment="1" pivotButton="0" quotePrefix="0" xfId="1">
      <alignment horizontal="center"/>
    </xf>
    <xf numFmtId="9" fontId="1" fillId="2" borderId="0" pivotButton="0" quotePrefix="0" xfId="1"/>
    <xf numFmtId="0" fontId="1" fillId="2" borderId="0" pivotButton="0" quotePrefix="0" xfId="1"/>
    <xf numFmtId="3" fontId="1" fillId="0" borderId="0" pivotButton="0" quotePrefix="0" xfId="1"/>
    <xf numFmtId="3" fontId="2" fillId="2" borderId="0" pivotButton="0" quotePrefix="0" xfId="1"/>
    <xf numFmtId="3" fontId="2" fillId="0" borderId="0" pivotButton="0" quotePrefix="0" xfId="1"/>
    <xf numFmtId="3" fontId="1" fillId="0" borderId="0" applyAlignment="1" pivotButton="0" quotePrefix="0" xfId="1">
      <alignment horizontal="right"/>
    </xf>
    <xf numFmtId="3" fontId="1" fillId="0" borderId="0" applyAlignment="1" pivotButton="0" quotePrefix="0" xfId="1">
      <alignment horizontal="center"/>
    </xf>
    <xf numFmtId="0" fontId="4" fillId="0" borderId="0" pivotButton="0" quotePrefix="0" xfId="1"/>
    <xf numFmtId="2" fontId="4" fillId="0" borderId="0" pivotButton="0" quotePrefix="0" xfId="1"/>
    <xf numFmtId="3" fontId="4" fillId="0" borderId="0" applyAlignment="1" pivotButton="0" quotePrefix="0" xfId="1">
      <alignment horizontal="center"/>
    </xf>
    <xf numFmtId="9" fontId="4" fillId="0" borderId="0" applyAlignment="1" pivotButton="0" quotePrefix="0" xfId="1">
      <alignment horizontal="center"/>
    </xf>
    <xf numFmtId="0" fontId="1" fillId="3" borderId="0" applyAlignment="1" pivotButton="0" quotePrefix="0" xfId="1">
      <alignment horizontal="left" vertical="top" wrapText="1"/>
    </xf>
    <xf numFmtId="0" fontId="5" fillId="0" borderId="0" pivotButton="0" quotePrefix="0" xfId="0"/>
    <xf numFmtId="3" fontId="5" fillId="4" borderId="0" applyAlignment="1" pivotButton="0" quotePrefix="0" xfId="1">
      <alignment horizontal="center"/>
    </xf>
    <xf numFmtId="0" fontId="0" fillId="5" borderId="0" pivotButton="0" quotePrefix="0" xfId="0"/>
    <xf numFmtId="0" fontId="5" fillId="4" borderId="0" pivotButton="0" quotePrefix="0" xfId="1"/>
    <xf numFmtId="3" fontId="0" fillId="0" borderId="0" pivotButton="0" quotePrefix="0" xfId="0"/>
    <xf numFmtId="4" fontId="0" fillId="0" borderId="0" pivotButton="0" quotePrefix="0" xfId="0"/>
    <xf numFmtId="4" fontId="1" fillId="0" borderId="0" pivotButton="0" quotePrefix="0" xfId="1"/>
    <xf numFmtId="0" fontId="5" fillId="4" borderId="0" pivotButton="0" quotePrefix="0" xfId="0"/>
    <xf numFmtId="164" fontId="0" fillId="0" borderId="0" pivotButton="0" quotePrefix="0" xfId="0"/>
    <xf numFmtId="0" fontId="5" fillId="5" borderId="0" pivotButton="0" quotePrefix="0" xfId="0"/>
  </cellXfs>
  <cellStyles count="2">
    <cellStyle name="Обычны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6"/>
  <sheetViews>
    <sheetView showGridLines="0" tabSelected="1" zoomScale="85" zoomScaleNormal="85" workbookViewId="0">
      <selection activeCell="B2" sqref="B2:L2"/>
    </sheetView>
  </sheetViews>
  <sheetFormatPr baseColWidth="8" defaultRowHeight="14.4"/>
  <cols>
    <col width="2.44140625" customWidth="1" style="1" min="1" max="1"/>
    <col width="68" customWidth="1" style="1" min="2" max="2"/>
    <col width="24" customWidth="1" style="2" min="3" max="3"/>
    <col width="14" customWidth="1" style="1" min="4" max="4"/>
    <col width="14" customWidth="1" style="1" min="5" max="5"/>
    <col width="14" customWidth="1" style="1" min="6" max="6"/>
    <col width="14" customWidth="1" style="1" min="7" max="7"/>
    <col width="14" customWidth="1" style="1" min="8" max="8"/>
    <col width="14" customWidth="1" style="1" min="9" max="9"/>
    <col width="14" customWidth="1" style="1" min="10" max="10"/>
    <col width="14" customWidth="1" style="1" min="11" max="11"/>
    <col width="14" customWidth="1" style="1" min="12" max="12"/>
    <col width="8.88671875" customWidth="1" style="1" min="13" max="13"/>
    <col width="11" bestFit="1" customWidth="1" style="1" min="14" max="14"/>
    <col width="8.88671875" customWidth="1" style="1" min="15" max="16384"/>
  </cols>
  <sheetData>
    <row r="2" ht="42" customHeight="1">
      <c r="B2" s="23" t="inlineStr">
        <is>
          <t>Дано: 
Акционер собирается приобрести в 2022 г. лицензию на месторождение благородного металла за 1,5 млрд руб. 
Покупателем лицензии  будет специально созданная "пустая"  компания- оператор (SPV), в которой акционер владеет 100% акций.  Эта же компания будет вести добычную  деятельность и реализовывать продукцию.  Для отработки месторождения на SPV будет закуплена карьерная техника и прочее оборудование на общую сумму 4,5 млрд руб. (график оплаты и оприходования в таблице ниже).  
Добыча начинается в 2024 г. График добычи и производственно-экономические показатели приведены в таблице.
Для финансирования проекта акцинер вкладывает в уставный капитал SPV взнос в размере 1 млрд руб в 2022 г, а также привлекает на SPV кредитную линию  на сумму непокрытого финансирования по ставке 10% годовых на неограниченный срок. На погашение кредита направляются полностью все свободные средства SPV. До момента полного погашения кредита действует мораторий на выплату  дивидендов.
Задача: построить для SPV  3 формы отчетности по годам (P&amp;L, BS, CF с автоматическим расчетом потребности в кредитовании)  и рассчитать показатели эффективности (NPV /IRR) проекта в целом и персонально для акционера. 
Допущения: 
- начисление и выплата %% происходит в конце года  на сумму остатка задолженностии на конец года 
- пренебречь расчетом НДС, амортизации и налога на имущество
- считать, что прочие налоги начисляются и выплачиваются в одном периоде
- учесть влияние инфляции
- считать ставку дисконта для проекта в целом и для акционера одинаковой
- остальные неуказанные здесь допущения делаются экзаменуемым самостоятельно с обязательным описанием при направлении ответа  
РАСЧЕТ ПРОИЗВОДИТЬ НА ЭТОМ ЖЕ  ЛИСТЕ НИЖЕ ИСХОДНЫХ ДАННЫХ, не интегрировать в другие заранее подготовленные "считалки"</t>
        </is>
      </c>
    </row>
    <row r="3">
      <c r="M3" s="3" t="n"/>
    </row>
    <row r="4">
      <c r="D4" s="1" t="n">
        <v>1</v>
      </c>
      <c r="E4" s="1" t="n">
        <v>2</v>
      </c>
      <c r="F4" s="1" t="n">
        <v>3</v>
      </c>
      <c r="G4" s="1" t="n">
        <v>4</v>
      </c>
      <c r="H4" s="1" t="n">
        <v>5</v>
      </c>
      <c r="I4" s="1" t="n">
        <v>6</v>
      </c>
      <c r="J4" s="1" t="n">
        <v>7</v>
      </c>
      <c r="K4" s="1" t="n">
        <v>8</v>
      </c>
      <c r="L4" s="1" t="n">
        <v>9</v>
      </c>
      <c r="M4" s="3" t="n"/>
    </row>
    <row r="5">
      <c r="C5" s="2" t="inlineStr">
        <is>
          <t xml:space="preserve">ед. изм </t>
        </is>
      </c>
      <c r="D5" s="1" t="n">
        <v>2022</v>
      </c>
      <c r="E5" s="1" t="n">
        <v>2023</v>
      </c>
      <c r="F5" s="1" t="n">
        <v>2024</v>
      </c>
      <c r="G5" s="1" t="n">
        <v>2025</v>
      </c>
      <c r="H5" s="1" t="n">
        <v>2026</v>
      </c>
      <c r="I5" s="1" t="n">
        <v>2027</v>
      </c>
      <c r="J5" s="1" t="n">
        <v>2028</v>
      </c>
      <c r="K5" s="1" t="n">
        <v>2029</v>
      </c>
      <c r="L5" s="1" t="n">
        <v>2030</v>
      </c>
      <c r="M5" s="3" t="n"/>
    </row>
    <row r="6" customFormat="1" s="5">
      <c r="B6" s="5" t="inlineStr">
        <is>
          <t xml:space="preserve">Макропараметры </t>
        </is>
      </c>
      <c r="C6" s="6" t="n"/>
    </row>
    <row r="7">
      <c r="B7" s="1" t="inlineStr">
        <is>
          <t>темп инфляции (для всех видов расходов)</t>
        </is>
      </c>
      <c r="D7" s="7" t="n">
        <v>0.07000000000000001</v>
      </c>
      <c r="E7" s="7" t="n">
        <v>0.06</v>
      </c>
      <c r="F7" s="7" t="n">
        <v>0.06</v>
      </c>
      <c r="G7" s="7" t="n">
        <v>0.06</v>
      </c>
      <c r="H7" s="7" t="n">
        <v>0.05</v>
      </c>
      <c r="I7" s="7" t="n">
        <v>0.05</v>
      </c>
      <c r="J7" s="7" t="n">
        <v>0.05</v>
      </c>
      <c r="K7" s="7" t="n">
        <v>0.05</v>
      </c>
      <c r="L7" s="7" t="n">
        <v>0.05</v>
      </c>
    </row>
    <row r="8" customFormat="1" s="8">
      <c r="B8" s="8" t="inlineStr">
        <is>
          <t xml:space="preserve">   то же накопительно </t>
        </is>
      </c>
      <c r="C8" s="2" t="n"/>
      <c r="D8" s="9">
        <f>(1+D7)</f>
        <v/>
      </c>
      <c r="E8" s="9">
        <f>D8*(1+E7)</f>
        <v/>
      </c>
      <c r="F8" s="9">
        <f>E8*(1+F7)</f>
        <v/>
      </c>
      <c r="G8" s="9">
        <f>F8*(1+G7)</f>
        <v/>
      </c>
      <c r="H8" s="9">
        <f>G8*(1+H7)</f>
        <v/>
      </c>
      <c r="I8" s="9">
        <f>H8*(1+I7)</f>
        <v/>
      </c>
      <c r="J8" s="9">
        <f>I8*(1+J7)</f>
        <v/>
      </c>
      <c r="K8" s="9">
        <f>J8*(1+K7)</f>
        <v/>
      </c>
      <c r="L8" s="9">
        <f>K8*(1+L7)</f>
        <v/>
      </c>
    </row>
    <row r="9">
      <c r="B9" s="1" t="inlineStr">
        <is>
          <t>темп инфляции (для всех видов доходов)</t>
        </is>
      </c>
      <c r="D9" s="7" t="n">
        <v>0.02</v>
      </c>
      <c r="E9" s="7" t="n">
        <v>0.02</v>
      </c>
      <c r="F9" s="7" t="n">
        <v>0.02</v>
      </c>
      <c r="G9" s="7" t="n">
        <v>0.02</v>
      </c>
      <c r="H9" s="7" t="n">
        <v>0.02</v>
      </c>
      <c r="I9" s="7" t="n">
        <v>0.02</v>
      </c>
      <c r="J9" s="7" t="n">
        <v>0.02</v>
      </c>
      <c r="K9" s="7" t="n">
        <v>0.02</v>
      </c>
      <c r="L9" s="7" t="n">
        <v>0.02</v>
      </c>
    </row>
    <row r="10" customFormat="1" s="8">
      <c r="B10" s="8" t="inlineStr">
        <is>
          <t xml:space="preserve">   то же накопительно </t>
        </is>
      </c>
      <c r="C10" s="2" t="n"/>
      <c r="D10" s="9">
        <f>(1+D9)</f>
        <v/>
      </c>
      <c r="E10" s="9">
        <f>D10*(1+E9)</f>
        <v/>
      </c>
      <c r="F10" s="9">
        <f>E10*(1+F9)</f>
        <v/>
      </c>
      <c r="G10" s="9">
        <f>F10*(1+G9)</f>
        <v/>
      </c>
      <c r="H10" s="9">
        <f>G10*(1+H9)</f>
        <v/>
      </c>
      <c r="I10" s="9">
        <f>H10*(1+I9)</f>
        <v/>
      </c>
      <c r="J10" s="9">
        <f>I10*(1+J9)</f>
        <v/>
      </c>
      <c r="K10" s="9">
        <f>J10*(1+K9)</f>
        <v/>
      </c>
      <c r="L10" s="9">
        <f>K10*(1+L9)</f>
        <v/>
      </c>
    </row>
    <row r="11">
      <c r="B11" s="1" t="inlineStr">
        <is>
          <t>цена на металл (без инфляции и НДС)</t>
        </is>
      </c>
      <c r="C11" s="2" t="inlineStr">
        <is>
          <t>тыс. руб/кг</t>
        </is>
      </c>
      <c r="D11" s="10" t="n">
        <v>2000</v>
      </c>
      <c r="E11" s="10" t="n">
        <v>2000</v>
      </c>
      <c r="F11" s="10" t="n">
        <v>2000</v>
      </c>
      <c r="G11" s="10" t="n">
        <v>2000</v>
      </c>
      <c r="H11" s="10" t="n">
        <v>2000</v>
      </c>
      <c r="I11" s="10" t="n">
        <v>2000</v>
      </c>
      <c r="J11" s="10" t="n">
        <v>2000</v>
      </c>
      <c r="K11" s="10" t="n">
        <v>2000</v>
      </c>
      <c r="L11" s="10" t="n">
        <v>2000</v>
      </c>
    </row>
    <row r="12">
      <c r="B12" s="1" t="inlineStr">
        <is>
          <t>Ставка дисконта WACC</t>
        </is>
      </c>
      <c r="D12" s="7" t="n">
        <v>0.12</v>
      </c>
      <c r="E12" s="7" t="n">
        <v>0.12</v>
      </c>
      <c r="F12" s="7" t="n">
        <v>0.12</v>
      </c>
      <c r="G12" s="7" t="n">
        <v>0.12</v>
      </c>
      <c r="H12" s="7" t="n">
        <v>0.12</v>
      </c>
      <c r="I12" s="7" t="n">
        <v>0.12</v>
      </c>
      <c r="J12" s="7" t="n">
        <v>0.12</v>
      </c>
      <c r="K12" s="7" t="n">
        <v>0.12</v>
      </c>
      <c r="L12" s="7" t="n">
        <v>0.12</v>
      </c>
    </row>
    <row r="13">
      <c r="B13" s="1" t="inlineStr">
        <is>
          <t xml:space="preserve">НДПИ </t>
        </is>
      </c>
      <c r="D13" s="7" t="n">
        <v>0.08</v>
      </c>
      <c r="E13" s="7" t="n">
        <v>0.08</v>
      </c>
      <c r="F13" s="7" t="n">
        <v>0.08</v>
      </c>
      <c r="G13" s="7" t="n">
        <v>0.08</v>
      </c>
      <c r="H13" s="7" t="n">
        <v>0.08</v>
      </c>
      <c r="I13" s="7" t="n">
        <v>0.08</v>
      </c>
      <c r="J13" s="7" t="n">
        <v>0.08</v>
      </c>
      <c r="K13" s="7" t="n">
        <v>0.08</v>
      </c>
      <c r="L13" s="7" t="n">
        <v>0.08</v>
      </c>
    </row>
    <row r="14">
      <c r="B14" s="1" t="inlineStr">
        <is>
          <t xml:space="preserve">ставка по кредиту </t>
        </is>
      </c>
      <c r="D14" s="7" t="n">
        <v>0.1</v>
      </c>
      <c r="E14" s="7" t="n">
        <v>0.1</v>
      </c>
      <c r="F14" s="7" t="n">
        <v>0.1</v>
      </c>
      <c r="G14" s="7" t="n">
        <v>0.1</v>
      </c>
      <c r="H14" s="7" t="n">
        <v>0.1</v>
      </c>
      <c r="I14" s="7" t="n">
        <v>0.1</v>
      </c>
      <c r="J14" s="7" t="n">
        <v>0.1</v>
      </c>
      <c r="K14" s="7" t="n">
        <v>0.1</v>
      </c>
      <c r="L14" s="7" t="n">
        <v>0.1</v>
      </c>
    </row>
    <row r="15"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customFormat="1" s="13">
      <c r="B16" s="5" t="inlineStr">
        <is>
          <t xml:space="preserve">Производственные параметры </t>
        </is>
      </c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B17" s="1" t="inlineStr">
        <is>
          <t xml:space="preserve">добыча руды </t>
        </is>
      </c>
      <c r="C17" s="2" t="inlineStr">
        <is>
          <t>тыс. тн/год</t>
        </is>
      </c>
      <c r="D17" s="14" t="n"/>
      <c r="E17" s="14" t="n"/>
      <c r="F17" s="14" t="n">
        <v>1500</v>
      </c>
      <c r="G17" s="14" t="n">
        <v>2100</v>
      </c>
      <c r="H17" s="14" t="n">
        <v>2150</v>
      </c>
      <c r="I17" s="14" t="n">
        <v>2000</v>
      </c>
      <c r="J17" s="14" t="n">
        <v>2000</v>
      </c>
      <c r="K17" s="14" t="n">
        <v>1800</v>
      </c>
      <c r="L17" s="14" t="n">
        <v>1700</v>
      </c>
    </row>
    <row r="18">
      <c r="B18" s="1" t="inlineStr">
        <is>
          <t>содержание Металла в руде</t>
        </is>
      </c>
      <c r="C18" s="2" t="inlineStr">
        <is>
          <t>г/тн</t>
        </is>
      </c>
      <c r="D18" s="14" t="n">
        <v>2</v>
      </c>
      <c r="E18" s="14" t="n">
        <v>2</v>
      </c>
      <c r="F18" s="14" t="n">
        <v>2</v>
      </c>
      <c r="G18" s="14" t="n">
        <v>2</v>
      </c>
      <c r="H18" s="14" t="n">
        <v>2</v>
      </c>
      <c r="I18" s="14" t="n">
        <v>2</v>
      </c>
      <c r="J18" s="14" t="n">
        <v>2</v>
      </c>
      <c r="K18" s="14" t="n">
        <v>2</v>
      </c>
      <c r="L18" s="14" t="n">
        <v>2</v>
      </c>
    </row>
    <row r="19">
      <c r="B19" s="1" t="inlineStr">
        <is>
          <t>Удельная себестоимость добычи руды (без инфляции и НДС)</t>
        </is>
      </c>
      <c r="C19" s="2" t="inlineStr">
        <is>
          <t>тыс руб/тн руды</t>
        </is>
      </c>
      <c r="D19" s="14" t="n">
        <v>1</v>
      </c>
      <c r="E19" s="14" t="n">
        <v>1</v>
      </c>
      <c r="F19" s="14" t="n">
        <v>1</v>
      </c>
      <c r="G19" s="14" t="n">
        <v>1</v>
      </c>
      <c r="H19" s="14" t="n">
        <v>1</v>
      </c>
      <c r="I19" s="14" t="n">
        <v>1</v>
      </c>
      <c r="J19" s="14" t="n">
        <v>1</v>
      </c>
      <c r="K19" s="14" t="n">
        <v>1</v>
      </c>
      <c r="L19" s="14" t="n">
        <v>1</v>
      </c>
    </row>
    <row r="20">
      <c r="B20" s="1" t="inlineStr">
        <is>
          <t>Удельная себестоимость переработки Ме (без инфляции и НДС)</t>
        </is>
      </c>
      <c r="C20" s="2" t="inlineStr">
        <is>
          <t>тыс руб/кг Мe</t>
        </is>
      </c>
      <c r="D20" s="14" t="n">
        <v>100</v>
      </c>
      <c r="E20" s="14" t="n">
        <v>100</v>
      </c>
      <c r="F20" s="14" t="n">
        <v>100</v>
      </c>
      <c r="G20" s="14" t="n">
        <v>100</v>
      </c>
      <c r="H20" s="14" t="n">
        <v>100</v>
      </c>
      <c r="I20" s="14" t="n">
        <v>100</v>
      </c>
      <c r="J20" s="14" t="n">
        <v>100</v>
      </c>
      <c r="K20" s="14" t="n">
        <v>100</v>
      </c>
      <c r="L20" s="14" t="n">
        <v>100</v>
      </c>
    </row>
    <row r="21">
      <c r="B21" s="1" t="inlineStr">
        <is>
          <t>Прочие постоянные расходы (без инфляции и НДС)</t>
        </is>
      </c>
      <c r="C21" s="2" t="inlineStr">
        <is>
          <t xml:space="preserve">тыс руб </t>
        </is>
      </c>
      <c r="D21" s="14" t="n">
        <v>0</v>
      </c>
      <c r="E21" s="14" t="n">
        <v>0</v>
      </c>
      <c r="F21" s="14" t="n">
        <v>50000</v>
      </c>
      <c r="G21" s="14" t="n">
        <v>50000</v>
      </c>
      <c r="H21" s="14" t="n">
        <v>50000</v>
      </c>
      <c r="I21" s="14" t="n">
        <v>50000</v>
      </c>
      <c r="J21" s="14" t="n">
        <v>50000</v>
      </c>
      <c r="K21" s="14" t="n">
        <v>50000</v>
      </c>
      <c r="L21" s="14" t="n">
        <v>50000</v>
      </c>
    </row>
    <row r="22">
      <c r="B22" s="1" t="inlineStr">
        <is>
          <t xml:space="preserve">Оборачиваемость дебиторской задолженности </t>
        </is>
      </c>
      <c r="C22" s="2" t="inlineStr">
        <is>
          <t>дней</t>
        </is>
      </c>
      <c r="D22" s="14" t="n">
        <v>60</v>
      </c>
      <c r="E22" s="14" t="n">
        <v>60</v>
      </c>
      <c r="F22" s="14" t="n">
        <v>60</v>
      </c>
      <c r="G22" s="14" t="n">
        <v>60</v>
      </c>
      <c r="H22" s="14" t="n">
        <v>60</v>
      </c>
      <c r="I22" s="14" t="n">
        <v>60</v>
      </c>
      <c r="J22" s="14" t="n">
        <v>60</v>
      </c>
      <c r="K22" s="14" t="n">
        <v>60</v>
      </c>
      <c r="L22" s="14" t="n">
        <v>60</v>
      </c>
    </row>
    <row r="23">
      <c r="B23" s="1" t="inlineStr">
        <is>
          <t>Оборачиваемость кредиторской задолженности</t>
        </is>
      </c>
      <c r="C23" s="2" t="inlineStr">
        <is>
          <t>дней</t>
        </is>
      </c>
      <c r="D23" s="14" t="n">
        <v>30</v>
      </c>
      <c r="E23" s="14" t="n">
        <v>30</v>
      </c>
      <c r="F23" s="14" t="n">
        <v>30</v>
      </c>
      <c r="G23" s="14" t="n">
        <v>30</v>
      </c>
      <c r="H23" s="14" t="n">
        <v>30</v>
      </c>
      <c r="I23" s="14" t="n">
        <v>30</v>
      </c>
      <c r="J23" s="14" t="n">
        <v>30</v>
      </c>
      <c r="K23" s="14" t="n">
        <v>30</v>
      </c>
      <c r="L23" s="14" t="n">
        <v>30</v>
      </c>
    </row>
    <row r="24"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customFormat="1" s="5">
      <c r="B25" s="5" t="inlineStr">
        <is>
          <t xml:space="preserve">Капексы </t>
        </is>
      </c>
      <c r="C25" s="6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 customFormat="1" s="3">
      <c r="B26" s="3" t="inlineStr">
        <is>
          <t xml:space="preserve">финансирование поставки  (с учетом инфляции без НДС) </t>
        </is>
      </c>
      <c r="C26" s="4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</row>
    <row r="27">
      <c r="B27" s="1" t="inlineStr">
        <is>
          <t>лицензия</t>
        </is>
      </c>
      <c r="C27" s="2" t="inlineStr">
        <is>
          <t xml:space="preserve">тыс руб </t>
        </is>
      </c>
      <c r="D27" s="14" t="n">
        <v>1500000</v>
      </c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>
      <c r="B28" s="1" t="inlineStr">
        <is>
          <t xml:space="preserve">карьерное  оборудование </t>
        </is>
      </c>
      <c r="C28" s="2" t="inlineStr">
        <is>
          <t xml:space="preserve">тыс руб </t>
        </is>
      </c>
      <c r="D28" s="14" t="n">
        <v>3000000</v>
      </c>
      <c r="E28" s="14" t="n">
        <v>1500000</v>
      </c>
      <c r="F28" s="14" t="n"/>
      <c r="G28" s="14" t="n"/>
      <c r="H28" s="14" t="n"/>
      <c r="I28" s="14" t="n"/>
      <c r="J28" s="14" t="n"/>
      <c r="K28" s="14" t="n"/>
      <c r="L28" s="14" t="n"/>
    </row>
    <row r="29"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</row>
    <row r="30">
      <c r="B30" s="3" t="inlineStr">
        <is>
          <t>Освоение и ввод в эксплуатацию (с учетом инфляции без НДС )</t>
        </is>
      </c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>
      <c r="B31" s="1">
        <f>B27</f>
        <v/>
      </c>
      <c r="C31" s="2" t="inlineStr">
        <is>
          <t xml:space="preserve">тыс руб </t>
        </is>
      </c>
      <c r="D31" s="17">
        <f>D27</f>
        <v/>
      </c>
      <c r="F31" s="14" t="n"/>
      <c r="G31" s="14" t="n"/>
      <c r="H31" s="14" t="n"/>
      <c r="I31" s="14" t="n"/>
      <c r="J31" s="14" t="n"/>
      <c r="K31" s="14" t="n"/>
      <c r="L31" s="14" t="n"/>
    </row>
    <row r="32">
      <c r="B32" s="1">
        <f>B28</f>
        <v/>
      </c>
      <c r="C32" s="2" t="inlineStr">
        <is>
          <t xml:space="preserve">тыс руб </t>
        </is>
      </c>
      <c r="D32" s="14" t="n"/>
      <c r="E32" s="18">
        <f>(D28+E28)</f>
        <v/>
      </c>
      <c r="F32" s="14" t="n"/>
      <c r="G32" s="14" t="n"/>
      <c r="H32" s="14" t="n"/>
      <c r="I32" s="14" t="n"/>
      <c r="J32" s="14" t="n"/>
      <c r="K32" s="14" t="n"/>
      <c r="L32" s="14" t="n"/>
    </row>
    <row r="33"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4"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</row>
    <row r="35">
      <c r="B35" s="24" t="inlineStr">
        <is>
          <t>РАСЧЕТНАЯ ФИНАНСОВАЯ МОДЕЛЬ SPV (автоматически)</t>
        </is>
      </c>
      <c r="D35" s="25" t="n">
        <v>2022</v>
      </c>
      <c r="E35" s="25" t="n">
        <v>2023</v>
      </c>
      <c r="F35" s="25" t="n">
        <v>2024</v>
      </c>
      <c r="G35" s="25" t="n">
        <v>2025</v>
      </c>
      <c r="H35" s="25" t="n">
        <v>2026</v>
      </c>
      <c r="I35" s="25" t="n">
        <v>2027</v>
      </c>
      <c r="J35" s="25" t="n">
        <v>2028</v>
      </c>
      <c r="K35" s="25" t="n">
        <v>2029</v>
      </c>
      <c r="L35" s="25" t="n">
        <v>2030</v>
      </c>
    </row>
    <row r="36">
      <c r="B36" s="26" t="inlineStr">
        <is>
          <t>Код сценария (1 Bear / 2 Base / 3 Bull)</t>
        </is>
      </c>
      <c r="C36" t="n">
        <v>2</v>
      </c>
      <c r="F36" s="14" t="n"/>
    </row>
    <row r="37">
      <c r="B37" s="26" t="inlineStr">
        <is>
          <t>Код стратегии дивидендов (1 Conservative / 2 Base / 3 Aggressive)</t>
        </is>
      </c>
      <c r="C37" t="n">
        <v>2</v>
      </c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>
      <c r="B38" s="26" t="inlineStr">
        <is>
          <t>Множитель цены (сценарий)</t>
        </is>
      </c>
      <c r="C38">
        <f>CHOOSE($C$36,0.8,1,1.15)</f>
        <v/>
      </c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N38" s="14" t="n"/>
    </row>
    <row r="39">
      <c r="B39" s="26" t="inlineStr">
        <is>
          <t>Множитель добычи (сценарий)</t>
        </is>
      </c>
      <c r="C39">
        <f>CHOOSE($C$36,0.9,1,1.05)</f>
        <v/>
      </c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 customFormat="1" s="19">
      <c r="B40" s="26" t="inlineStr">
        <is>
          <t>Добавка к инфляции затрат, п.п.</t>
        </is>
      </c>
      <c r="C40" s="4">
        <f>CHOOSE($C$36,0.03,0,-0.02)</f>
        <v/>
      </c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</row>
    <row r="41">
      <c r="B41" s="26" t="inlineStr">
        <is>
          <t>Доля выплаты дивидендов после погашения долга</t>
        </is>
      </c>
      <c r="C41">
        <f>CHOOSE($C$37,0.5,1,1)</f>
        <v/>
      </c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</row>
    <row r="42">
      <c r="B42" s="26" t="inlineStr">
        <is>
          <t>Минимальный денежный резерв, тыс руб</t>
        </is>
      </c>
      <c r="C42">
        <f>CHOOSE($C$37,100000,0,0)</f>
        <v/>
      </c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>
      <c r="B43" s="3" t="n"/>
      <c r="C43" s="21" t="n"/>
    </row>
    <row r="44">
      <c r="B44" s="27" t="inlineStr">
        <is>
          <t>ОПЕРАЦИОННЫЙ БЛОК</t>
        </is>
      </c>
      <c r="C44" s="22" t="n"/>
    </row>
    <row r="45">
      <c r="B45" t="inlineStr">
        <is>
          <t>Объем металла, кг</t>
        </is>
      </c>
      <c r="C45" t="inlineStr">
        <is>
          <t>кг/год</t>
        </is>
      </c>
      <c r="D45" s="28">
        <f>D17*D18*$C$39</f>
        <v/>
      </c>
      <c r="E45" s="28">
        <f>E17*E18*$C$39</f>
        <v/>
      </c>
      <c r="F45" s="28">
        <f>F17*F18*$C$39</f>
        <v/>
      </c>
      <c r="G45" s="28">
        <f>G17*G18*$C$39</f>
        <v/>
      </c>
      <c r="H45" s="28">
        <f>H17*H18*$C$39</f>
        <v/>
      </c>
      <c r="I45" s="28">
        <f>I17*I18*$C$39</f>
        <v/>
      </c>
      <c r="J45" s="28">
        <f>J17*J18*$C$39</f>
        <v/>
      </c>
      <c r="K45" s="28">
        <f>K17*K18*$C$39</f>
        <v/>
      </c>
      <c r="L45" s="28">
        <f>L17*L18*$C$39</f>
        <v/>
      </c>
    </row>
    <row r="46">
      <c r="B46" t="inlineStr">
        <is>
          <t>Цена металла с инфляцией, тыс руб/кг</t>
        </is>
      </c>
      <c r="C46" t="inlineStr">
        <is>
          <t>тыс руб/кг</t>
        </is>
      </c>
      <c r="D46" s="29">
        <f>D11*D10*$C$38</f>
        <v/>
      </c>
      <c r="E46" s="29">
        <f>E11*E10*$C$38</f>
        <v/>
      </c>
      <c r="F46" s="29">
        <f>F11*F10*$C$38</f>
        <v/>
      </c>
      <c r="G46" s="29">
        <f>G11*G10*$C$38</f>
        <v/>
      </c>
      <c r="H46" s="29">
        <f>H11*H10*$C$38</f>
        <v/>
      </c>
      <c r="I46" s="29">
        <f>I11*I10*$C$38</f>
        <v/>
      </c>
      <c r="J46" s="29">
        <f>J11*J10*$C$38</f>
        <v/>
      </c>
      <c r="K46" s="29">
        <f>K11*K10*$C$38</f>
        <v/>
      </c>
      <c r="L46" s="29">
        <f>L11*L10*$C$38</f>
        <v/>
      </c>
    </row>
    <row r="47">
      <c r="B47" t="inlineStr">
        <is>
          <t>Выручка</t>
        </is>
      </c>
      <c r="C47" t="inlineStr">
        <is>
          <t>тыс руб</t>
        </is>
      </c>
      <c r="D47" s="14">
        <f>D45*D46</f>
        <v/>
      </c>
      <c r="E47" s="14">
        <f>E45*E46</f>
        <v/>
      </c>
      <c r="F47" s="14">
        <f>F45*F46</f>
        <v/>
      </c>
      <c r="G47" s="14">
        <f>G45*G46</f>
        <v/>
      </c>
      <c r="H47" s="14">
        <f>H45*H46</f>
        <v/>
      </c>
      <c r="I47" s="14">
        <f>I45*I46</f>
        <v/>
      </c>
      <c r="J47" s="14">
        <f>J45*J46</f>
        <v/>
      </c>
      <c r="K47" s="14">
        <f>K45*K46</f>
        <v/>
      </c>
      <c r="L47" s="14">
        <f>L45*L46</f>
        <v/>
      </c>
    </row>
    <row r="48">
      <c r="B48" t="inlineStr">
        <is>
          <t>Уд. себестоимость добычи с инфляцией</t>
        </is>
      </c>
      <c r="C48" t="inlineStr">
        <is>
          <t>тыс руб/тн</t>
        </is>
      </c>
      <c r="D48" s="30">
        <f>D19*D8*(1+$C$40)</f>
        <v/>
      </c>
      <c r="E48" s="30">
        <f>E19*E8*(1+$C$40)</f>
        <v/>
      </c>
      <c r="F48" s="30">
        <f>F19*F8*(1+$C$40)</f>
        <v/>
      </c>
      <c r="G48" s="30">
        <f>G19*G8*(1+$C$40)</f>
        <v/>
      </c>
      <c r="H48" s="30">
        <f>H19*H8*(1+$C$40)</f>
        <v/>
      </c>
      <c r="I48" s="30">
        <f>I19*I8*(1+$C$40)</f>
        <v/>
      </c>
      <c r="J48" s="30">
        <f>J19*J8*(1+$C$40)</f>
        <v/>
      </c>
      <c r="K48" s="30">
        <f>K19*K8*(1+$C$40)</f>
        <v/>
      </c>
      <c r="L48" s="30">
        <f>L19*L8*(1+$C$40)</f>
        <v/>
      </c>
    </row>
    <row r="49">
      <c r="B49" t="inlineStr">
        <is>
          <t>Себестоимость добычи</t>
        </is>
      </c>
      <c r="C49" t="inlineStr">
        <is>
          <t>тыс руб</t>
        </is>
      </c>
      <c r="D49" s="14">
        <f>D17*1000*D48*$C$39</f>
        <v/>
      </c>
      <c r="E49" s="14">
        <f>E17*1000*E48*$C$39</f>
        <v/>
      </c>
      <c r="F49" s="14">
        <f>F17*1000*F48*$C$39</f>
        <v/>
      </c>
      <c r="G49" s="14">
        <f>G17*1000*G48*$C$39</f>
        <v/>
      </c>
      <c r="H49" s="14">
        <f>H17*1000*H48*$C$39</f>
        <v/>
      </c>
      <c r="I49" s="14">
        <f>I17*1000*I48*$C$39</f>
        <v/>
      </c>
      <c r="J49" s="14">
        <f>J17*1000*J48*$C$39</f>
        <v/>
      </c>
      <c r="K49" s="14">
        <f>K17*1000*K48*$C$39</f>
        <v/>
      </c>
      <c r="L49" s="14">
        <f>L17*1000*L48*$C$39</f>
        <v/>
      </c>
    </row>
    <row r="50">
      <c r="B50" t="inlineStr">
        <is>
          <t>Уд. себестоимость переработки с инфляцией</t>
        </is>
      </c>
      <c r="C50" t="inlineStr">
        <is>
          <t>тыс руб/кг</t>
        </is>
      </c>
      <c r="D50" s="30">
        <f>D20*D8*(1+$C$40)</f>
        <v/>
      </c>
      <c r="E50" s="30">
        <f>E20*E8*(1+$C$40)</f>
        <v/>
      </c>
      <c r="F50" s="30">
        <f>F20*F8*(1+$C$40)</f>
        <v/>
      </c>
      <c r="G50" s="30">
        <f>G20*G8*(1+$C$40)</f>
        <v/>
      </c>
      <c r="H50" s="30">
        <f>H20*H8*(1+$C$40)</f>
        <v/>
      </c>
      <c r="I50" s="30">
        <f>I20*I8*(1+$C$40)</f>
        <v/>
      </c>
      <c r="J50" s="30">
        <f>J20*J8*(1+$C$40)</f>
        <v/>
      </c>
      <c r="K50" s="30">
        <f>K20*K8*(1+$C$40)</f>
        <v/>
      </c>
      <c r="L50" s="30">
        <f>L20*L8*(1+$C$40)</f>
        <v/>
      </c>
    </row>
    <row r="51">
      <c r="B51" s="3" t="inlineStr">
        <is>
          <t>Себестоимость переработки</t>
        </is>
      </c>
      <c r="C51" s="21" t="inlineStr">
        <is>
          <t>тыс руб</t>
        </is>
      </c>
      <c r="D51" s="28">
        <f>D45*D50</f>
        <v/>
      </c>
      <c r="E51" s="28">
        <f>E45*E50</f>
        <v/>
      </c>
      <c r="F51" s="28">
        <f>F45*F50</f>
        <v/>
      </c>
      <c r="G51" s="28">
        <f>G45*G50</f>
        <v/>
      </c>
      <c r="H51" s="28">
        <f>H45*H50</f>
        <v/>
      </c>
      <c r="I51" s="28">
        <f>I45*I50</f>
        <v/>
      </c>
      <c r="J51" s="28">
        <f>J45*J50</f>
        <v/>
      </c>
      <c r="K51" s="28">
        <f>K45*K50</f>
        <v/>
      </c>
      <c r="L51" s="28">
        <f>L45*L50</f>
        <v/>
      </c>
    </row>
    <row r="52">
      <c r="B52" s="3" t="inlineStr">
        <is>
          <t>Постоянные расходы</t>
        </is>
      </c>
      <c r="C52" s="22" t="inlineStr">
        <is>
          <t>тыс руб</t>
        </is>
      </c>
      <c r="D52" s="28">
        <f>D21*D8*(1+$C$40)</f>
        <v/>
      </c>
      <c r="E52" s="28">
        <f>E21*E8*(1+$C$40)</f>
        <v/>
      </c>
      <c r="F52" s="28">
        <f>F21*F8*(1+$C$40)</f>
        <v/>
      </c>
      <c r="G52" s="28">
        <f>G21*G8*(1+$C$40)</f>
        <v/>
      </c>
      <c r="H52" s="28">
        <f>H21*H8*(1+$C$40)</f>
        <v/>
      </c>
      <c r="I52" s="28">
        <f>I21*I8*(1+$C$40)</f>
        <v/>
      </c>
      <c r="J52" s="28">
        <f>J21*J8*(1+$C$40)</f>
        <v/>
      </c>
      <c r="K52" s="28">
        <f>K21*K8*(1+$C$40)</f>
        <v/>
      </c>
      <c r="L52" s="28">
        <f>L21*L8*(1+$C$40)</f>
        <v/>
      </c>
    </row>
    <row r="53">
      <c r="B53" t="inlineStr">
        <is>
          <t>Итого OPEX</t>
        </is>
      </c>
      <c r="C53" t="inlineStr">
        <is>
          <t>тыс руб</t>
        </is>
      </c>
      <c r="D53" s="28">
        <f>D49+D51+D52</f>
        <v/>
      </c>
      <c r="E53" s="28">
        <f>E49+E51+E52</f>
        <v/>
      </c>
      <c r="F53" s="28">
        <f>F49+F51+F52</f>
        <v/>
      </c>
      <c r="G53" s="28">
        <f>G49+G51+G52</f>
        <v/>
      </c>
      <c r="H53" s="28">
        <f>H49+H51+H52</f>
        <v/>
      </c>
      <c r="I53" s="28">
        <f>I49+I51+I52</f>
        <v/>
      </c>
      <c r="J53" s="28">
        <f>J49+J51+J52</f>
        <v/>
      </c>
      <c r="K53" s="28">
        <f>K49+K51+K52</f>
        <v/>
      </c>
      <c r="L53" s="28">
        <f>L49+L51+L52</f>
        <v/>
      </c>
    </row>
    <row r="54">
      <c r="B54" t="inlineStr">
        <is>
          <t>НДПИ</t>
        </is>
      </c>
      <c r="C54" t="inlineStr">
        <is>
          <t>тыс руб</t>
        </is>
      </c>
      <c r="D54" s="28">
        <f>D47*D13</f>
        <v/>
      </c>
      <c r="E54" s="28">
        <f>E47*E13</f>
        <v/>
      </c>
      <c r="F54" s="28">
        <f>F47*F13</f>
        <v/>
      </c>
      <c r="G54" s="28">
        <f>G47*G13</f>
        <v/>
      </c>
      <c r="H54" s="28">
        <f>H47*H13</f>
        <v/>
      </c>
      <c r="I54" s="28">
        <f>I47*I13</f>
        <v/>
      </c>
      <c r="J54" s="28">
        <f>J47*J13</f>
        <v/>
      </c>
      <c r="K54" s="28">
        <f>K47*K13</f>
        <v/>
      </c>
      <c r="L54" s="28">
        <f>L47*L13</f>
        <v/>
      </c>
    </row>
    <row r="55">
      <c r="B55" t="inlineStr">
        <is>
          <t>EBIT</t>
        </is>
      </c>
      <c r="C55" t="inlineStr">
        <is>
          <t>тыс руб</t>
        </is>
      </c>
      <c r="D55" s="28">
        <f>D47-D53-D54</f>
        <v/>
      </c>
      <c r="E55" s="28">
        <f>E47-E53-E54</f>
        <v/>
      </c>
      <c r="F55" s="28">
        <f>F47-F53-F54</f>
        <v/>
      </c>
      <c r="G55" s="28">
        <f>G47-G53-G54</f>
        <v/>
      </c>
      <c r="H55" s="28">
        <f>H47-H53-H54</f>
        <v/>
      </c>
      <c r="I55" s="28">
        <f>I47-I53-I54</f>
        <v/>
      </c>
      <c r="J55" s="28">
        <f>J47-J53-J54</f>
        <v/>
      </c>
      <c r="K55" s="28">
        <f>K47-K53-K54</f>
        <v/>
      </c>
      <c r="L55" s="28">
        <f>L47-L53-L54</f>
        <v/>
      </c>
    </row>
    <row r="56"/>
    <row r="57">
      <c r="B57" t="inlineStr">
        <is>
          <t>Дебиторская задолженность (AR)</t>
        </is>
      </c>
      <c r="C57" t="inlineStr">
        <is>
          <t>тыс руб</t>
        </is>
      </c>
      <c r="D57" s="28">
        <f>D47*D22/365</f>
        <v/>
      </c>
      <c r="E57" s="28">
        <f>E47*E22/365</f>
        <v/>
      </c>
      <c r="F57" s="28">
        <f>F47*F22/365</f>
        <v/>
      </c>
      <c r="G57" s="28">
        <f>G47*G22/365</f>
        <v/>
      </c>
      <c r="H57" s="28">
        <f>H47*H22/365</f>
        <v/>
      </c>
      <c r="I57" s="28">
        <f>I47*I22/365</f>
        <v/>
      </c>
      <c r="J57" s="28">
        <f>J47*J22/365</f>
        <v/>
      </c>
      <c r="K57" s="28">
        <f>K47*K22/365</f>
        <v/>
      </c>
      <c r="L57" s="28">
        <f>L47*L22/365</f>
        <v/>
      </c>
    </row>
    <row r="58">
      <c r="B58" t="inlineStr">
        <is>
          <t>Кредиторская задолженность (AP)</t>
        </is>
      </c>
      <c r="C58" t="inlineStr">
        <is>
          <t>тыс руб</t>
        </is>
      </c>
      <c r="D58" s="28">
        <f>D53*D23/365</f>
        <v/>
      </c>
      <c r="E58" s="28">
        <f>E53*E23/365</f>
        <v/>
      </c>
      <c r="F58" s="28">
        <f>F53*F23/365</f>
        <v/>
      </c>
      <c r="G58" s="28">
        <f>G53*G23/365</f>
        <v/>
      </c>
      <c r="H58" s="28">
        <f>H53*H23/365</f>
        <v/>
      </c>
      <c r="I58" s="28">
        <f>I53*I23/365</f>
        <v/>
      </c>
      <c r="J58" s="28">
        <f>J53*J23/365</f>
        <v/>
      </c>
      <c r="K58" s="28">
        <f>K53*K23/365</f>
        <v/>
      </c>
      <c r="L58" s="28">
        <f>L53*L23/365</f>
        <v/>
      </c>
    </row>
    <row r="59">
      <c r="B59" t="inlineStr">
        <is>
          <t>Изменение AR</t>
        </is>
      </c>
      <c r="C59" t="inlineStr">
        <is>
          <t>тыс руб</t>
        </is>
      </c>
      <c r="D59" s="28">
        <f>D57-N(C57)</f>
        <v/>
      </c>
      <c r="E59" s="28">
        <f>E57-N(D57)</f>
        <v/>
      </c>
      <c r="F59" s="28">
        <f>F57-N(E57)</f>
        <v/>
      </c>
      <c r="G59" s="28">
        <f>G57-N(F57)</f>
        <v/>
      </c>
      <c r="H59" s="28">
        <f>H57-N(G57)</f>
        <v/>
      </c>
      <c r="I59" s="28">
        <f>I57-N(H57)</f>
        <v/>
      </c>
      <c r="J59" s="28">
        <f>J57-N(I57)</f>
        <v/>
      </c>
      <c r="K59" s="28">
        <f>K57-N(J57)</f>
        <v/>
      </c>
      <c r="L59" s="28">
        <f>L57-N(K57)</f>
        <v/>
      </c>
    </row>
    <row r="60">
      <c r="B60" t="inlineStr">
        <is>
          <t>Изменение AP</t>
        </is>
      </c>
      <c r="C60" t="inlineStr">
        <is>
          <t>тыс руб</t>
        </is>
      </c>
      <c r="D60" s="28">
        <f>D58-N(C58)</f>
        <v/>
      </c>
      <c r="E60" s="28">
        <f>E58-N(D58)</f>
        <v/>
      </c>
      <c r="F60" s="28">
        <f>F58-N(E58)</f>
        <v/>
      </c>
      <c r="G60" s="28">
        <f>G58-N(F58)</f>
        <v/>
      </c>
      <c r="H60" s="28">
        <f>H58-N(G58)</f>
        <v/>
      </c>
      <c r="I60" s="28">
        <f>I58-N(H58)</f>
        <v/>
      </c>
      <c r="J60" s="28">
        <f>J58-N(I58)</f>
        <v/>
      </c>
      <c r="K60" s="28">
        <f>K58-N(J58)</f>
        <v/>
      </c>
      <c r="L60" s="28">
        <f>L58-N(K58)</f>
        <v/>
      </c>
    </row>
    <row r="61">
      <c r="B61" t="inlineStr">
        <is>
          <t>CFO до процентов</t>
        </is>
      </c>
      <c r="C61" t="inlineStr">
        <is>
          <t>тыс руб</t>
        </is>
      </c>
      <c r="D61" s="28">
        <f>D55-D59+D60</f>
        <v/>
      </c>
      <c r="E61" s="28">
        <f>E55-E59+E60</f>
        <v/>
      </c>
      <c r="F61" s="28">
        <f>F55-F59+F60</f>
        <v/>
      </c>
      <c r="G61" s="28">
        <f>G55-G59+G60</f>
        <v/>
      </c>
      <c r="H61" s="28">
        <f>H55-H59+H60</f>
        <v/>
      </c>
      <c r="I61" s="28">
        <f>I55-I59+I60</f>
        <v/>
      </c>
      <c r="J61" s="28">
        <f>J55-J59+J60</f>
        <v/>
      </c>
      <c r="K61" s="28">
        <f>K55-K59+K60</f>
        <v/>
      </c>
      <c r="L61" s="28">
        <f>L55-L59+L60</f>
        <v/>
      </c>
    </row>
    <row r="62"/>
    <row r="63">
      <c r="B63" t="inlineStr">
        <is>
          <t>CAPEX (денежный отток)</t>
        </is>
      </c>
      <c r="C63" t="inlineStr">
        <is>
          <t>тыс руб</t>
        </is>
      </c>
      <c r="D63" s="28">
        <f>D27+D28</f>
        <v/>
      </c>
      <c r="E63" s="28">
        <f>E27+E28</f>
        <v/>
      </c>
      <c r="F63" s="28">
        <f>F27+F28</f>
        <v/>
      </c>
      <c r="G63" s="28">
        <f>G27+G28</f>
        <v/>
      </c>
      <c r="H63" s="28">
        <f>H27+H28</f>
        <v/>
      </c>
      <c r="I63" s="28">
        <f>I27+I28</f>
        <v/>
      </c>
      <c r="J63" s="28">
        <f>J27+J28</f>
        <v/>
      </c>
      <c r="K63" s="28">
        <f>K27+K28</f>
        <v/>
      </c>
      <c r="L63" s="28">
        <f>L27+L28</f>
        <v/>
      </c>
    </row>
    <row r="64">
      <c r="B64" t="inlineStr">
        <is>
          <t>Ввод ОС</t>
        </is>
      </c>
      <c r="C64" t="inlineStr">
        <is>
          <t>тыс руб</t>
        </is>
      </c>
      <c r="D64" s="28">
        <f>D31+D32</f>
        <v/>
      </c>
      <c r="E64" s="28">
        <f>E31+E32</f>
        <v/>
      </c>
      <c r="F64" s="28">
        <f>F31+F32</f>
        <v/>
      </c>
      <c r="G64" s="28">
        <f>G31+G32</f>
        <v/>
      </c>
      <c r="H64" s="28">
        <f>H31+H32</f>
        <v/>
      </c>
      <c r="I64" s="28">
        <f>I31+I32</f>
        <v/>
      </c>
      <c r="J64" s="28">
        <f>J31+J32</f>
        <v/>
      </c>
      <c r="K64" s="28">
        <f>K31+K32</f>
        <v/>
      </c>
      <c r="L64" s="28">
        <f>L31+L32</f>
        <v/>
      </c>
    </row>
    <row r="65">
      <c r="B65" t="inlineStr">
        <is>
          <t>ОС на конец (без амортизации)</t>
        </is>
      </c>
      <c r="C65" t="inlineStr">
        <is>
          <t>тыс руб</t>
        </is>
      </c>
      <c r="D65" s="28">
        <f>D64+N(C65)</f>
        <v/>
      </c>
      <c r="E65" s="28">
        <f>E64+N(D65)</f>
        <v/>
      </c>
      <c r="F65" s="28">
        <f>F64+N(E65)</f>
        <v/>
      </c>
      <c r="G65" s="28">
        <f>G64+N(F65)</f>
        <v/>
      </c>
      <c r="H65" s="28">
        <f>H64+N(G65)</f>
        <v/>
      </c>
      <c r="I65" s="28">
        <f>I64+N(H65)</f>
        <v/>
      </c>
      <c r="J65" s="28">
        <f>J64+N(I65)</f>
        <v/>
      </c>
      <c r="K65" s="28">
        <f>K64+N(J65)</f>
        <v/>
      </c>
      <c r="L65" s="28">
        <f>L64+N(K65)</f>
        <v/>
      </c>
    </row>
    <row r="66"/>
    <row r="67">
      <c r="B67" t="inlineStr">
        <is>
          <t>Взнос акционера в УК</t>
        </is>
      </c>
      <c r="C67" t="inlineStr">
        <is>
          <t>тыс руб</t>
        </is>
      </c>
      <c r="D67" s="28">
        <f>IF(D5=2022,1000000,0)</f>
        <v/>
      </c>
      <c r="E67" s="28">
        <f>IF(E5=2022,1000000,0)</f>
        <v/>
      </c>
      <c r="F67" s="28">
        <f>IF(F5=2022,1000000,0)</f>
        <v/>
      </c>
      <c r="G67" s="28">
        <f>IF(G5=2022,1000000,0)</f>
        <v/>
      </c>
      <c r="H67" s="28">
        <f>IF(H5=2022,1000000,0)</f>
        <v/>
      </c>
      <c r="I67" s="28">
        <f>IF(I5=2022,1000000,0)</f>
        <v/>
      </c>
      <c r="J67" s="28">
        <f>IF(J5=2022,1000000,0)</f>
        <v/>
      </c>
      <c r="K67" s="28">
        <f>IF(K5=2022,1000000,0)</f>
        <v/>
      </c>
      <c r="L67" s="28">
        <f>IF(L5=2022,1000000,0)</f>
        <v/>
      </c>
    </row>
    <row r="68">
      <c r="B68" t="inlineStr">
        <is>
          <t>Денежные средства на начало</t>
        </is>
      </c>
      <c r="C68" t="inlineStr">
        <is>
          <t>тыс руб</t>
        </is>
      </c>
      <c r="D68" s="28">
        <f>IF(D5=2022,0,C77)</f>
        <v/>
      </c>
      <c r="E68" s="28">
        <f>IF(E5=2022,0,D77)</f>
        <v/>
      </c>
      <c r="F68" s="28">
        <f>IF(F5=2022,0,E77)</f>
        <v/>
      </c>
      <c r="G68" s="28">
        <f>IF(G5=2022,0,F77)</f>
        <v/>
      </c>
      <c r="H68" s="28">
        <f>IF(H5=2022,0,G77)</f>
        <v/>
      </c>
      <c r="I68" s="28">
        <f>IF(I5=2022,0,H77)</f>
        <v/>
      </c>
      <c r="J68" s="28">
        <f>IF(J5=2022,0,I77)</f>
        <v/>
      </c>
      <c r="K68" s="28">
        <f>IF(K5=2022,0,J77)</f>
        <v/>
      </c>
      <c r="L68" s="28">
        <f>IF(L5=2022,0,K77)</f>
        <v/>
      </c>
    </row>
    <row r="69">
      <c r="B69" t="inlineStr">
        <is>
          <t>Долг на начало</t>
        </is>
      </c>
      <c r="C69" t="inlineStr">
        <is>
          <t>тыс руб</t>
        </is>
      </c>
      <c r="D69" s="28">
        <f>IF(D5=2022,0,C71)</f>
        <v/>
      </c>
      <c r="E69" s="28">
        <f>IF(E5=2022,0,D71)</f>
        <v/>
      </c>
      <c r="F69" s="28">
        <f>IF(F5=2022,0,E71)</f>
        <v/>
      </c>
      <c r="G69" s="28">
        <f>IF(G5=2022,0,F71)</f>
        <v/>
      </c>
      <c r="H69" s="28">
        <f>IF(H5=2022,0,G71)</f>
        <v/>
      </c>
      <c r="I69" s="28">
        <f>IF(I5=2022,0,H71)</f>
        <v/>
      </c>
      <c r="J69" s="28">
        <f>IF(J5=2022,0,I71)</f>
        <v/>
      </c>
      <c r="K69" s="28">
        <f>IF(K5=2022,0,J71)</f>
        <v/>
      </c>
      <c r="L69" s="28">
        <f>IF(L5=2022,0,K71)</f>
        <v/>
      </c>
    </row>
    <row r="70">
      <c r="B70" t="inlineStr">
        <is>
          <t>Денежный поток до обслуживания долга</t>
        </is>
      </c>
      <c r="C70" t="inlineStr">
        <is>
          <t>тыс руб</t>
        </is>
      </c>
      <c r="D70" s="28">
        <f>D68+D61-D63+D67</f>
        <v/>
      </c>
      <c r="E70" s="28">
        <f>E68+E61-E63+E67</f>
        <v/>
      </c>
      <c r="F70" s="28">
        <f>F68+F61-F63+F67</f>
        <v/>
      </c>
      <c r="G70" s="28">
        <f>G68+G61-G63+G67</f>
        <v/>
      </c>
      <c r="H70" s="28">
        <f>H68+H61-H63+H67</f>
        <v/>
      </c>
      <c r="I70" s="28">
        <f>I68+I61-I63+I67</f>
        <v/>
      </c>
      <c r="J70" s="28">
        <f>J68+J61-J63+J67</f>
        <v/>
      </c>
      <c r="K70" s="28">
        <f>K68+K61-K63+K67</f>
        <v/>
      </c>
      <c r="L70" s="28">
        <f>L68+L61-L63+L67</f>
        <v/>
      </c>
    </row>
    <row r="71">
      <c r="B71" t="inlineStr">
        <is>
          <t>Долг на конец (авто)</t>
        </is>
      </c>
      <c r="C71" t="inlineStr">
        <is>
          <t>тыс руб</t>
        </is>
      </c>
      <c r="D71" s="28">
        <f>IF(D70&gt;=D69,0,(D69-D70)/(1-D14))</f>
        <v/>
      </c>
      <c r="E71" s="28">
        <f>IF(E70&gt;=E69,0,(E69-E70)/(1-E14))</f>
        <v/>
      </c>
      <c r="F71" s="28">
        <f>IF(F70&gt;=F69,0,(F69-F70)/(1-F14))</f>
        <v/>
      </c>
      <c r="G71" s="28">
        <f>IF(G70&gt;=G69,0,(G69-G70)/(1-G14))</f>
        <v/>
      </c>
      <c r="H71" s="28">
        <f>IF(H70&gt;=H69,0,(H69-H70)/(1-H14))</f>
        <v/>
      </c>
      <c r="I71" s="28">
        <f>IF(I70&gt;=I69,0,(I69-I70)/(1-I14))</f>
        <v/>
      </c>
      <c r="J71" s="28">
        <f>IF(J70&gt;=J69,0,(J69-J70)/(1-J14))</f>
        <v/>
      </c>
      <c r="K71" s="28">
        <f>IF(K70&gt;=K69,0,(K69-K70)/(1-K14))</f>
        <v/>
      </c>
      <c r="L71" s="28">
        <f>IF(L70&gt;=L69,0,(L69-L70)/(1-L14))</f>
        <v/>
      </c>
    </row>
    <row r="72">
      <c r="B72" t="inlineStr">
        <is>
          <t>Проценты к уплате</t>
        </is>
      </c>
      <c r="C72" t="inlineStr">
        <is>
          <t>тыс руб</t>
        </is>
      </c>
      <c r="D72" s="28">
        <f>D71*D14</f>
        <v/>
      </c>
      <c r="E72" s="28">
        <f>E71*E14</f>
        <v/>
      </c>
      <c r="F72" s="28">
        <f>F71*F14</f>
        <v/>
      </c>
      <c r="G72" s="28">
        <f>G71*G14</f>
        <v/>
      </c>
      <c r="H72" s="28">
        <f>H71*H14</f>
        <v/>
      </c>
      <c r="I72" s="28">
        <f>I71*I14</f>
        <v/>
      </c>
      <c r="J72" s="28">
        <f>J71*J14</f>
        <v/>
      </c>
      <c r="K72" s="28">
        <f>K71*K14</f>
        <v/>
      </c>
      <c r="L72" s="28">
        <f>L71*L14</f>
        <v/>
      </c>
    </row>
    <row r="73">
      <c r="B73" t="inlineStr">
        <is>
          <t>Привлечение долга</t>
        </is>
      </c>
      <c r="C73" t="inlineStr">
        <is>
          <t>тыс руб</t>
        </is>
      </c>
      <c r="D73" s="28">
        <f>MAX(0,D71-D69)</f>
        <v/>
      </c>
      <c r="E73" s="28">
        <f>MAX(0,E71-E69)</f>
        <v/>
      </c>
      <c r="F73" s="28">
        <f>MAX(0,F71-F69)</f>
        <v/>
      </c>
      <c r="G73" s="28">
        <f>MAX(0,G71-G69)</f>
        <v/>
      </c>
      <c r="H73" s="28">
        <f>MAX(0,H71-H69)</f>
        <v/>
      </c>
      <c r="I73" s="28">
        <f>MAX(0,I71-I69)</f>
        <v/>
      </c>
      <c r="J73" s="28">
        <f>MAX(0,J71-J69)</f>
        <v/>
      </c>
      <c r="K73" s="28">
        <f>MAX(0,K71-K69)</f>
        <v/>
      </c>
      <c r="L73" s="28">
        <f>MAX(0,L71-L69)</f>
        <v/>
      </c>
    </row>
    <row r="74">
      <c r="B74" t="inlineStr">
        <is>
          <t>Погашение долга</t>
        </is>
      </c>
      <c r="C74" t="inlineStr">
        <is>
          <t>тыс руб</t>
        </is>
      </c>
      <c r="D74" s="28">
        <f>MAX(0,D69-D71)</f>
        <v/>
      </c>
      <c r="E74" s="28">
        <f>MAX(0,E69-E71)</f>
        <v/>
      </c>
      <c r="F74" s="28">
        <f>MAX(0,F69-F71)</f>
        <v/>
      </c>
      <c r="G74" s="28">
        <f>MAX(0,G69-G71)</f>
        <v/>
      </c>
      <c r="H74" s="28">
        <f>MAX(0,H69-H71)</f>
        <v/>
      </c>
      <c r="I74" s="28">
        <f>MAX(0,I69-I71)</f>
        <v/>
      </c>
      <c r="J74" s="28">
        <f>MAX(0,J69-J71)</f>
        <v/>
      </c>
      <c r="K74" s="28">
        <f>MAX(0,K69-K71)</f>
        <v/>
      </c>
      <c r="L74" s="28">
        <f>MAX(0,L69-L71)</f>
        <v/>
      </c>
    </row>
    <row r="75">
      <c r="B75" t="inlineStr">
        <is>
          <t>Денежный ресурс после закрытия долга</t>
        </is>
      </c>
      <c r="C75" t="inlineStr">
        <is>
          <t>тыс руб</t>
        </is>
      </c>
      <c r="D75" s="28">
        <f>MAX(0,D70-D69)</f>
        <v/>
      </c>
      <c r="E75" s="28">
        <f>MAX(0,E70-E69)</f>
        <v/>
      </c>
      <c r="F75" s="28">
        <f>MAX(0,F70-F69)</f>
        <v/>
      </c>
      <c r="G75" s="28">
        <f>MAX(0,G70-G69)</f>
        <v/>
      </c>
      <c r="H75" s="28">
        <f>MAX(0,H70-H69)</f>
        <v/>
      </c>
      <c r="I75" s="28">
        <f>MAX(0,I70-I69)</f>
        <v/>
      </c>
      <c r="J75" s="28">
        <f>MAX(0,J70-J69)</f>
        <v/>
      </c>
      <c r="K75" s="28">
        <f>MAX(0,K70-K69)</f>
        <v/>
      </c>
      <c r="L75" s="28">
        <f>MAX(0,L70-L69)</f>
        <v/>
      </c>
    </row>
    <row r="76">
      <c r="B76" t="inlineStr">
        <is>
          <t>Дивиденды</t>
        </is>
      </c>
      <c r="C76" t="inlineStr">
        <is>
          <t>тыс руб</t>
        </is>
      </c>
      <c r="D76" s="28">
        <f>IF(D71&gt;0,0,MAX(0,(D75-$C$42)*$C$41))</f>
        <v/>
      </c>
      <c r="E76" s="28">
        <f>IF(E71&gt;0,0,MAX(0,(E75-$C$42)*$C$41))</f>
        <v/>
      </c>
      <c r="F76" s="28">
        <f>IF(F71&gt;0,0,MAX(0,(F75-$C$42)*$C$41))</f>
        <v/>
      </c>
      <c r="G76" s="28">
        <f>IF(G71&gt;0,0,MAX(0,(G75-$C$42)*$C$41))</f>
        <v/>
      </c>
      <c r="H76" s="28">
        <f>IF(H71&gt;0,0,MAX(0,(H75-$C$42)*$C$41))</f>
        <v/>
      </c>
      <c r="I76" s="28">
        <f>IF(I71&gt;0,0,MAX(0,(I75-$C$42)*$C$41))</f>
        <v/>
      </c>
      <c r="J76" s="28">
        <f>IF(J71&gt;0,0,MAX(0,(J75-$C$42)*$C$41))</f>
        <v/>
      </c>
      <c r="K76" s="28">
        <f>IF(K71&gt;0,0,MAX(0,(K75-$C$42)*$C$41))</f>
        <v/>
      </c>
      <c r="L76" s="28">
        <f>IF(L71&gt;0,0,MAX(0,(L75-$C$42)*$C$41))</f>
        <v/>
      </c>
    </row>
    <row r="77">
      <c r="B77" t="inlineStr">
        <is>
          <t>Денежные средства на конец</t>
        </is>
      </c>
      <c r="C77" t="inlineStr">
        <is>
          <t>тыс руб</t>
        </is>
      </c>
      <c r="D77" s="28">
        <f>D70+D73-D74-D72-D76</f>
        <v/>
      </c>
      <c r="E77" s="28">
        <f>E70+E73-E74-E72-E76</f>
        <v/>
      </c>
      <c r="F77" s="28">
        <f>F70+F73-F74-F72-F76</f>
        <v/>
      </c>
      <c r="G77" s="28">
        <f>G70+G73-G74-G72-G76</f>
        <v/>
      </c>
      <c r="H77" s="28">
        <f>H70+H73-H74-H72-H76</f>
        <v/>
      </c>
      <c r="I77" s="28">
        <f>I70+I73-I74-I72-I76</f>
        <v/>
      </c>
      <c r="J77" s="28">
        <f>J70+J73-J74-J72-J76</f>
        <v/>
      </c>
      <c r="K77" s="28">
        <f>K70+K73-K74-K72-K76</f>
        <v/>
      </c>
      <c r="L77" s="28">
        <f>L70+L73-L74-L72-L76</f>
        <v/>
      </c>
    </row>
    <row r="78"/>
    <row r="79">
      <c r="B79" s="31" t="inlineStr">
        <is>
          <t>ОТЧЕТ О ПРИБЫЛЯХ И УБЫТКАХ (P&amp;L)</t>
        </is>
      </c>
    </row>
    <row r="80">
      <c r="B80" t="inlineStr">
        <is>
          <t>Выручка</t>
        </is>
      </c>
      <c r="C80" t="inlineStr">
        <is>
          <t>тыс руб</t>
        </is>
      </c>
      <c r="D80" s="28">
        <f>D47</f>
        <v/>
      </c>
      <c r="E80" s="28">
        <f>E47</f>
        <v/>
      </c>
      <c r="F80" s="28">
        <f>F47</f>
        <v/>
      </c>
      <c r="G80" s="28">
        <f>G47</f>
        <v/>
      </c>
      <c r="H80" s="28">
        <f>H47</f>
        <v/>
      </c>
      <c r="I80" s="28">
        <f>I47</f>
        <v/>
      </c>
      <c r="J80" s="28">
        <f>J47</f>
        <v/>
      </c>
      <c r="K80" s="28">
        <f>K47</f>
        <v/>
      </c>
      <c r="L80" s="28">
        <f>L47</f>
        <v/>
      </c>
    </row>
    <row r="81">
      <c r="B81" t="inlineStr">
        <is>
          <t>OPEX</t>
        </is>
      </c>
      <c r="C81" t="inlineStr">
        <is>
          <t>тыс руб</t>
        </is>
      </c>
      <c r="D81" s="28">
        <f>D53</f>
        <v/>
      </c>
      <c r="E81" s="28">
        <f>E53</f>
        <v/>
      </c>
      <c r="F81" s="28">
        <f>F53</f>
        <v/>
      </c>
      <c r="G81" s="28">
        <f>G53</f>
        <v/>
      </c>
      <c r="H81" s="28">
        <f>H53</f>
        <v/>
      </c>
      <c r="I81" s="28">
        <f>I53</f>
        <v/>
      </c>
      <c r="J81" s="28">
        <f>J53</f>
        <v/>
      </c>
      <c r="K81" s="28">
        <f>K53</f>
        <v/>
      </c>
      <c r="L81" s="28">
        <f>L53</f>
        <v/>
      </c>
    </row>
    <row r="82">
      <c r="B82" t="inlineStr">
        <is>
          <t>НДПИ</t>
        </is>
      </c>
      <c r="C82" t="inlineStr">
        <is>
          <t>тыс руб</t>
        </is>
      </c>
      <c r="D82" s="28">
        <f>D54</f>
        <v/>
      </c>
      <c r="E82" s="28">
        <f>E54</f>
        <v/>
      </c>
      <c r="F82" s="28">
        <f>F54</f>
        <v/>
      </c>
      <c r="G82" s="28">
        <f>G54</f>
        <v/>
      </c>
      <c r="H82" s="28">
        <f>H54</f>
        <v/>
      </c>
      <c r="I82" s="28">
        <f>I54</f>
        <v/>
      </c>
      <c r="J82" s="28">
        <f>J54</f>
        <v/>
      </c>
      <c r="K82" s="28">
        <f>K54</f>
        <v/>
      </c>
      <c r="L82" s="28">
        <f>L54</f>
        <v/>
      </c>
    </row>
    <row r="83">
      <c r="B83" t="inlineStr">
        <is>
          <t>EBIT</t>
        </is>
      </c>
      <c r="C83" t="inlineStr">
        <is>
          <t>тыс руб</t>
        </is>
      </c>
      <c r="D83" s="28">
        <f>D55</f>
        <v/>
      </c>
      <c r="E83" s="28">
        <f>E55</f>
        <v/>
      </c>
      <c r="F83" s="28">
        <f>F55</f>
        <v/>
      </c>
      <c r="G83" s="28">
        <f>G55</f>
        <v/>
      </c>
      <c r="H83" s="28">
        <f>H55</f>
        <v/>
      </c>
      <c r="I83" s="28">
        <f>I55</f>
        <v/>
      </c>
      <c r="J83" s="28">
        <f>J55</f>
        <v/>
      </c>
      <c r="K83" s="28">
        <f>K55</f>
        <v/>
      </c>
      <c r="L83" s="28">
        <f>L55</f>
        <v/>
      </c>
    </row>
    <row r="84">
      <c r="B84" t="inlineStr">
        <is>
          <t>Проценты</t>
        </is>
      </c>
      <c r="C84" t="inlineStr">
        <is>
          <t>тыс руб</t>
        </is>
      </c>
      <c r="D84" s="28">
        <f>D72</f>
        <v/>
      </c>
      <c r="E84" s="28">
        <f>E72</f>
        <v/>
      </c>
      <c r="F84" s="28">
        <f>F72</f>
        <v/>
      </c>
      <c r="G84" s="28">
        <f>G72</f>
        <v/>
      </c>
      <c r="H84" s="28">
        <f>H72</f>
        <v/>
      </c>
      <c r="I84" s="28">
        <f>I72</f>
        <v/>
      </c>
      <c r="J84" s="28">
        <f>J72</f>
        <v/>
      </c>
      <c r="K84" s="28">
        <f>K72</f>
        <v/>
      </c>
      <c r="L84" s="28">
        <f>L72</f>
        <v/>
      </c>
    </row>
    <row r="85">
      <c r="B85" t="inlineStr">
        <is>
          <t>Чистая прибыль</t>
        </is>
      </c>
      <c r="C85" t="inlineStr">
        <is>
          <t>тыс руб</t>
        </is>
      </c>
      <c r="D85" s="28">
        <f>D83-D84</f>
        <v/>
      </c>
      <c r="E85" s="28">
        <f>E83-E84</f>
        <v/>
      </c>
      <c r="F85" s="28">
        <f>F83-F84</f>
        <v/>
      </c>
      <c r="G85" s="28">
        <f>G83-G84</f>
        <v/>
      </c>
      <c r="H85" s="28">
        <f>H83-H84</f>
        <v/>
      </c>
      <c r="I85" s="28">
        <f>I83-I84</f>
        <v/>
      </c>
      <c r="J85" s="28">
        <f>J83-J84</f>
        <v/>
      </c>
      <c r="K85" s="28">
        <f>K83-K84</f>
        <v/>
      </c>
      <c r="L85" s="28">
        <f>L83-L84</f>
        <v/>
      </c>
    </row>
    <row r="86"/>
    <row r="87">
      <c r="B87" s="31" t="inlineStr">
        <is>
          <t>БАЛАНС (BS)</t>
        </is>
      </c>
    </row>
    <row r="88">
      <c r="B88" t="inlineStr">
        <is>
          <t>Денежные средства</t>
        </is>
      </c>
      <c r="C88" t="inlineStr">
        <is>
          <t>тыс руб</t>
        </is>
      </c>
      <c r="D88" s="28">
        <f>D77</f>
        <v/>
      </c>
      <c r="E88" s="28">
        <f>E77</f>
        <v/>
      </c>
      <c r="F88" s="28">
        <f>F77</f>
        <v/>
      </c>
      <c r="G88" s="28">
        <f>G77</f>
        <v/>
      </c>
      <c r="H88" s="28">
        <f>H77</f>
        <v/>
      </c>
      <c r="I88" s="28">
        <f>I77</f>
        <v/>
      </c>
      <c r="J88" s="28">
        <f>J77</f>
        <v/>
      </c>
      <c r="K88" s="28">
        <f>K77</f>
        <v/>
      </c>
      <c r="L88" s="28">
        <f>L77</f>
        <v/>
      </c>
    </row>
    <row r="89">
      <c r="B89" t="inlineStr">
        <is>
          <t>ДЗ</t>
        </is>
      </c>
      <c r="C89" t="inlineStr">
        <is>
          <t>тыс руб</t>
        </is>
      </c>
      <c r="D89" s="28">
        <f>D57</f>
        <v/>
      </c>
      <c r="E89" s="28">
        <f>E57</f>
        <v/>
      </c>
      <c r="F89" s="28">
        <f>F57</f>
        <v/>
      </c>
      <c r="G89" s="28">
        <f>G57</f>
        <v/>
      </c>
      <c r="H89" s="28">
        <f>H57</f>
        <v/>
      </c>
      <c r="I89" s="28">
        <f>I57</f>
        <v/>
      </c>
      <c r="J89" s="28">
        <f>J57</f>
        <v/>
      </c>
      <c r="K89" s="28">
        <f>K57</f>
        <v/>
      </c>
      <c r="L89" s="28">
        <f>L57</f>
        <v/>
      </c>
    </row>
    <row r="90">
      <c r="B90" t="inlineStr">
        <is>
          <t>ОС (без амортизации)</t>
        </is>
      </c>
      <c r="C90" t="inlineStr">
        <is>
          <t>тыс руб</t>
        </is>
      </c>
      <c r="D90" s="28">
        <f>D65</f>
        <v/>
      </c>
      <c r="E90" s="28">
        <f>E65</f>
        <v/>
      </c>
      <c r="F90" s="28">
        <f>F65</f>
        <v/>
      </c>
      <c r="G90" s="28">
        <f>G65</f>
        <v/>
      </c>
      <c r="H90" s="28">
        <f>H65</f>
        <v/>
      </c>
      <c r="I90" s="28">
        <f>I65</f>
        <v/>
      </c>
      <c r="J90" s="28">
        <f>J65</f>
        <v/>
      </c>
      <c r="K90" s="28">
        <f>K65</f>
        <v/>
      </c>
      <c r="L90" s="28">
        <f>L65</f>
        <v/>
      </c>
    </row>
    <row r="91">
      <c r="B91" t="inlineStr">
        <is>
          <t>Итого активы</t>
        </is>
      </c>
      <c r="C91" t="inlineStr">
        <is>
          <t>тыс руб</t>
        </is>
      </c>
      <c r="D91" s="28">
        <f>D88+D89+D90</f>
        <v/>
      </c>
      <c r="E91" s="28">
        <f>E88+E89+E90</f>
        <v/>
      </c>
      <c r="F91" s="28">
        <f>F88+F89+F90</f>
        <v/>
      </c>
      <c r="G91" s="28">
        <f>G88+G89+G90</f>
        <v/>
      </c>
      <c r="H91" s="28">
        <f>H88+H89+H90</f>
        <v/>
      </c>
      <c r="I91" s="28">
        <f>I88+I89+I90</f>
        <v/>
      </c>
      <c r="J91" s="28">
        <f>J88+J89+J90</f>
        <v/>
      </c>
      <c r="K91" s="28">
        <f>K88+K89+K90</f>
        <v/>
      </c>
      <c r="L91" s="28">
        <f>L88+L89+L90</f>
        <v/>
      </c>
    </row>
    <row r="92">
      <c r="B92" t="inlineStr">
        <is>
          <t>КЗ</t>
        </is>
      </c>
      <c r="C92" t="inlineStr">
        <is>
          <t>тыс руб</t>
        </is>
      </c>
      <c r="D92" s="28">
        <f>D58</f>
        <v/>
      </c>
      <c r="E92" s="28">
        <f>E58</f>
        <v/>
      </c>
      <c r="F92" s="28">
        <f>F58</f>
        <v/>
      </c>
      <c r="G92" s="28">
        <f>G58</f>
        <v/>
      </c>
      <c r="H92" s="28">
        <f>H58</f>
        <v/>
      </c>
      <c r="I92" s="28">
        <f>I58</f>
        <v/>
      </c>
      <c r="J92" s="28">
        <f>J58</f>
        <v/>
      </c>
      <c r="K92" s="28">
        <f>K58</f>
        <v/>
      </c>
      <c r="L92" s="28">
        <f>L58</f>
        <v/>
      </c>
    </row>
    <row r="93">
      <c r="B93" t="inlineStr">
        <is>
          <t>Долг</t>
        </is>
      </c>
      <c r="C93" t="inlineStr">
        <is>
          <t>тыс руб</t>
        </is>
      </c>
      <c r="D93" s="28">
        <f>D71</f>
        <v/>
      </c>
      <c r="E93" s="28">
        <f>E71</f>
        <v/>
      </c>
      <c r="F93" s="28">
        <f>F71</f>
        <v/>
      </c>
      <c r="G93" s="28">
        <f>G71</f>
        <v/>
      </c>
      <c r="H93" s="28">
        <f>H71</f>
        <v/>
      </c>
      <c r="I93" s="28">
        <f>I71</f>
        <v/>
      </c>
      <c r="J93" s="28">
        <f>J71</f>
        <v/>
      </c>
      <c r="K93" s="28">
        <f>K71</f>
        <v/>
      </c>
      <c r="L93" s="28">
        <f>L71</f>
        <v/>
      </c>
    </row>
    <row r="94">
      <c r="B94" t="inlineStr">
        <is>
          <t>Капитал и нераспределенная прибыль</t>
        </is>
      </c>
      <c r="C94" t="inlineStr">
        <is>
          <t>тыс руб</t>
        </is>
      </c>
      <c r="D94" s="28">
        <f>N(C94)+D67+D85-D76</f>
        <v/>
      </c>
      <c r="E94" s="28">
        <f>N(D94)+E67+E85-E76</f>
        <v/>
      </c>
      <c r="F94" s="28">
        <f>N(E94)+F67+F85-F76</f>
        <v/>
      </c>
      <c r="G94" s="28">
        <f>N(F94)+G67+G85-G76</f>
        <v/>
      </c>
      <c r="H94" s="28">
        <f>N(G94)+H67+H85-H76</f>
        <v/>
      </c>
      <c r="I94" s="28">
        <f>N(H94)+I67+I85-I76</f>
        <v/>
      </c>
      <c r="J94" s="28">
        <f>N(I94)+J67+J85-J76</f>
        <v/>
      </c>
      <c r="K94" s="28">
        <f>N(J94)+K67+K85-K76</f>
        <v/>
      </c>
      <c r="L94" s="28">
        <f>N(K94)+L67+L85-L76</f>
        <v/>
      </c>
    </row>
    <row r="95">
      <c r="B95" t="inlineStr">
        <is>
          <t>Итого пассивы и капитал</t>
        </is>
      </c>
      <c r="C95" t="inlineStr">
        <is>
          <t>тыс руб</t>
        </is>
      </c>
      <c r="D95" s="28">
        <f>D92+D93+D94</f>
        <v/>
      </c>
      <c r="E95" s="28">
        <f>E92+E93+E94</f>
        <v/>
      </c>
      <c r="F95" s="28">
        <f>F92+F93+F94</f>
        <v/>
      </c>
      <c r="G95" s="28">
        <f>G92+G93+G94</f>
        <v/>
      </c>
      <c r="H95" s="28">
        <f>H92+H93+H94</f>
        <v/>
      </c>
      <c r="I95" s="28">
        <f>I92+I93+I94</f>
        <v/>
      </c>
      <c r="J95" s="28">
        <f>J92+J93+J94</f>
        <v/>
      </c>
      <c r="K95" s="28">
        <f>K92+K93+K94</f>
        <v/>
      </c>
      <c r="L95" s="28">
        <f>L92+L93+L94</f>
        <v/>
      </c>
    </row>
    <row r="96">
      <c r="B96" t="inlineStr">
        <is>
          <t>Контроль баланса (должно быть 0)</t>
        </is>
      </c>
      <c r="C96" t="inlineStr">
        <is>
          <t>тыс руб</t>
        </is>
      </c>
      <c r="D96" s="28">
        <f>D91-D95</f>
        <v/>
      </c>
      <c r="E96" s="28">
        <f>E91-E95</f>
        <v/>
      </c>
      <c r="F96" s="28">
        <f>F91-F95</f>
        <v/>
      </c>
      <c r="G96" s="28">
        <f>G91-G95</f>
        <v/>
      </c>
      <c r="H96" s="28">
        <f>H91-H95</f>
        <v/>
      </c>
      <c r="I96" s="28">
        <f>I91-I95</f>
        <v/>
      </c>
      <c r="J96" s="28">
        <f>J91-J95</f>
        <v/>
      </c>
      <c r="K96" s="28">
        <f>K91-K95</f>
        <v/>
      </c>
      <c r="L96" s="28">
        <f>L91-L95</f>
        <v/>
      </c>
    </row>
    <row r="97"/>
    <row r="98">
      <c r="B98" s="31" t="inlineStr">
        <is>
          <t>ДВИЖЕНИЕ ДЕНЕЖНЫХ СРЕДСТВ (CF)</t>
        </is>
      </c>
    </row>
    <row r="99">
      <c r="B99" t="inlineStr">
        <is>
          <t>CFO (до процентов)</t>
        </is>
      </c>
      <c r="C99" t="inlineStr">
        <is>
          <t>тыс руб</t>
        </is>
      </c>
      <c r="D99" s="28">
        <f>D61</f>
        <v/>
      </c>
      <c r="E99" s="28">
        <f>E61</f>
        <v/>
      </c>
      <c r="F99" s="28">
        <f>F61</f>
        <v/>
      </c>
      <c r="G99" s="28">
        <f>G61</f>
        <v/>
      </c>
      <c r="H99" s="28">
        <f>H61</f>
        <v/>
      </c>
      <c r="I99" s="28">
        <f>I61</f>
        <v/>
      </c>
      <c r="J99" s="28">
        <f>J61</f>
        <v/>
      </c>
      <c r="K99" s="28">
        <f>K61</f>
        <v/>
      </c>
      <c r="L99" s="28">
        <f>L61</f>
        <v/>
      </c>
    </row>
    <row r="100">
      <c r="B100" t="inlineStr">
        <is>
          <t>CFI (CAPEX)</t>
        </is>
      </c>
      <c r="C100" t="inlineStr">
        <is>
          <t>тыс руб</t>
        </is>
      </c>
      <c r="D100" s="28">
        <f>-D63</f>
        <v/>
      </c>
      <c r="E100" s="28">
        <f>-E63</f>
        <v/>
      </c>
      <c r="F100" s="28">
        <f>-F63</f>
        <v/>
      </c>
      <c r="G100" s="28">
        <f>-G63</f>
        <v/>
      </c>
      <c r="H100" s="28">
        <f>-H63</f>
        <v/>
      </c>
      <c r="I100" s="28">
        <f>-I63</f>
        <v/>
      </c>
      <c r="J100" s="28">
        <f>-J63</f>
        <v/>
      </c>
      <c r="K100" s="28">
        <f>-K63</f>
        <v/>
      </c>
      <c r="L100" s="28">
        <f>-L63</f>
        <v/>
      </c>
    </row>
    <row r="101">
      <c r="B101" t="inlineStr">
        <is>
          <t>CFF: Equity in</t>
        </is>
      </c>
      <c r="C101" t="inlineStr">
        <is>
          <t>тыс руб</t>
        </is>
      </c>
      <c r="D101" s="28">
        <f>D67</f>
        <v/>
      </c>
      <c r="E101" s="28">
        <f>E67</f>
        <v/>
      </c>
      <c r="F101" s="28">
        <f>F67</f>
        <v/>
      </c>
      <c r="G101" s="28">
        <f>G67</f>
        <v/>
      </c>
      <c r="H101" s="28">
        <f>H67</f>
        <v/>
      </c>
      <c r="I101" s="28">
        <f>I67</f>
        <v/>
      </c>
      <c r="J101" s="28">
        <f>J67</f>
        <v/>
      </c>
      <c r="K101" s="28">
        <f>K67</f>
        <v/>
      </c>
      <c r="L101" s="28">
        <f>L67</f>
        <v/>
      </c>
    </row>
    <row r="102">
      <c r="B102" t="inlineStr">
        <is>
          <t>CFF: Draw debt</t>
        </is>
      </c>
      <c r="C102" t="inlineStr">
        <is>
          <t>тыс руб</t>
        </is>
      </c>
      <c r="D102" s="28">
        <f>D73</f>
        <v/>
      </c>
      <c r="E102" s="28">
        <f>E73</f>
        <v/>
      </c>
      <c r="F102" s="28">
        <f>F73</f>
        <v/>
      </c>
      <c r="G102" s="28">
        <f>G73</f>
        <v/>
      </c>
      <c r="H102" s="28">
        <f>H73</f>
        <v/>
      </c>
      <c r="I102" s="28">
        <f>I73</f>
        <v/>
      </c>
      <c r="J102" s="28">
        <f>J73</f>
        <v/>
      </c>
      <c r="K102" s="28">
        <f>K73</f>
        <v/>
      </c>
      <c r="L102" s="28">
        <f>L73</f>
        <v/>
      </c>
    </row>
    <row r="103">
      <c r="B103" t="inlineStr">
        <is>
          <t>CFF: Repay debt</t>
        </is>
      </c>
      <c r="C103" t="inlineStr">
        <is>
          <t>тыс руб</t>
        </is>
      </c>
      <c r="D103" s="28">
        <f>-D74</f>
        <v/>
      </c>
      <c r="E103" s="28">
        <f>-E74</f>
        <v/>
      </c>
      <c r="F103" s="28">
        <f>-F74</f>
        <v/>
      </c>
      <c r="G103" s="28">
        <f>-G74</f>
        <v/>
      </c>
      <c r="H103" s="28">
        <f>-H74</f>
        <v/>
      </c>
      <c r="I103" s="28">
        <f>-I74</f>
        <v/>
      </c>
      <c r="J103" s="28">
        <f>-J74</f>
        <v/>
      </c>
      <c r="K103" s="28">
        <f>-K74</f>
        <v/>
      </c>
      <c r="L103" s="28">
        <f>-L74</f>
        <v/>
      </c>
    </row>
    <row r="104">
      <c r="B104" t="inlineStr">
        <is>
          <t>CFF: Interest</t>
        </is>
      </c>
      <c r="C104" t="inlineStr">
        <is>
          <t>тыс руб</t>
        </is>
      </c>
      <c r="D104" s="28">
        <f>-D72</f>
        <v/>
      </c>
      <c r="E104" s="28">
        <f>-E72</f>
        <v/>
      </c>
      <c r="F104" s="28">
        <f>-F72</f>
        <v/>
      </c>
      <c r="G104" s="28">
        <f>-G72</f>
        <v/>
      </c>
      <c r="H104" s="28">
        <f>-H72</f>
        <v/>
      </c>
      <c r="I104" s="28">
        <f>-I72</f>
        <v/>
      </c>
      <c r="J104" s="28">
        <f>-J72</f>
        <v/>
      </c>
      <c r="K104" s="28">
        <f>-K72</f>
        <v/>
      </c>
      <c r="L104" s="28">
        <f>-L72</f>
        <v/>
      </c>
    </row>
    <row r="105">
      <c r="B105" t="inlineStr">
        <is>
          <t>CFF: Dividends</t>
        </is>
      </c>
      <c r="C105" t="inlineStr">
        <is>
          <t>тыс руб</t>
        </is>
      </c>
      <c r="D105" s="28">
        <f>-D76</f>
        <v/>
      </c>
      <c r="E105" s="28">
        <f>-E76</f>
        <v/>
      </c>
      <c r="F105" s="28">
        <f>-F76</f>
        <v/>
      </c>
      <c r="G105" s="28">
        <f>-G76</f>
        <v/>
      </c>
      <c r="H105" s="28">
        <f>-H76</f>
        <v/>
      </c>
      <c r="I105" s="28">
        <f>-I76</f>
        <v/>
      </c>
      <c r="J105" s="28">
        <f>-J76</f>
        <v/>
      </c>
      <c r="K105" s="28">
        <f>-K76</f>
        <v/>
      </c>
      <c r="L105" s="28">
        <f>-L76</f>
        <v/>
      </c>
    </row>
    <row r="106">
      <c r="B106" t="inlineStr">
        <is>
          <t>Net CF</t>
        </is>
      </c>
      <c r="C106" t="inlineStr">
        <is>
          <t>тыс руб</t>
        </is>
      </c>
      <c r="D106" s="28">
        <f>SUM(D99:D105)</f>
        <v/>
      </c>
      <c r="E106" s="28">
        <f>SUM(E99:E105)</f>
        <v/>
      </c>
      <c r="F106" s="28">
        <f>SUM(F99:F105)</f>
        <v/>
      </c>
      <c r="G106" s="28">
        <f>SUM(G99:G105)</f>
        <v/>
      </c>
      <c r="H106" s="28">
        <f>SUM(H99:H105)</f>
        <v/>
      </c>
      <c r="I106" s="28">
        <f>SUM(I99:I105)</f>
        <v/>
      </c>
      <c r="J106" s="28">
        <f>SUM(J99:J105)</f>
        <v/>
      </c>
      <c r="K106" s="28">
        <f>SUM(K99:K105)</f>
        <v/>
      </c>
      <c r="L106" s="28">
        <f>SUM(L99:L105)</f>
        <v/>
      </c>
    </row>
    <row r="107">
      <c r="B107" t="inlineStr">
        <is>
          <t>Контроль CF-моста (должно быть 0)</t>
        </is>
      </c>
      <c r="C107" t="inlineStr">
        <is>
          <t>тыс руб</t>
        </is>
      </c>
      <c r="D107" s="28">
        <f>D77-D68-D106</f>
        <v/>
      </c>
      <c r="E107" s="28">
        <f>E77-E68-E106</f>
        <v/>
      </c>
      <c r="F107" s="28">
        <f>F77-F68-F106</f>
        <v/>
      </c>
      <c r="G107" s="28">
        <f>G77-G68-G106</f>
        <v/>
      </c>
      <c r="H107" s="28">
        <f>H77-H68-H106</f>
        <v/>
      </c>
      <c r="I107" s="28">
        <f>I77-I68-I106</f>
        <v/>
      </c>
      <c r="J107" s="28">
        <f>J77-J68-J106</f>
        <v/>
      </c>
      <c r="K107" s="28">
        <f>K77-K68-K106</f>
        <v/>
      </c>
      <c r="L107" s="28">
        <f>L77-L68-L106</f>
        <v/>
      </c>
    </row>
    <row r="108"/>
    <row r="109">
      <c r="B109" s="31" t="inlineStr">
        <is>
          <t>ОЦЕНКА ЭФФЕКТИВНОСТИ</t>
        </is>
      </c>
    </row>
    <row r="110">
      <c r="B110" t="inlineStr">
        <is>
          <t>FCFF проекта</t>
        </is>
      </c>
      <c r="C110" t="inlineStr">
        <is>
          <t>тыс руб</t>
        </is>
      </c>
      <c r="D110" s="28">
        <f>D61-D63</f>
        <v/>
      </c>
      <c r="E110" s="28">
        <f>E61-E63</f>
        <v/>
      </c>
      <c r="F110" s="28">
        <f>F61-F63</f>
        <v/>
      </c>
      <c r="G110" s="28">
        <f>G61-G63</f>
        <v/>
      </c>
      <c r="H110" s="28">
        <f>H61-H63</f>
        <v/>
      </c>
      <c r="I110" s="28">
        <f>I61-I63</f>
        <v/>
      </c>
      <c r="J110" s="28">
        <f>J61-J63</f>
        <v/>
      </c>
      <c r="K110" s="28">
        <f>K61-K63</f>
        <v/>
      </c>
      <c r="L110" s="28">
        <f>L61-L63</f>
        <v/>
      </c>
    </row>
    <row r="111">
      <c r="B111" t="inlineStr">
        <is>
          <t>Коэффициент дисконтирования</t>
        </is>
      </c>
      <c r="C111" t="inlineStr"/>
      <c r="D111" s="32">
        <f>1/(1+D12)^(D5-2022)</f>
        <v/>
      </c>
      <c r="E111" s="32">
        <f>1/(1+E12)^(E5-2022)</f>
        <v/>
      </c>
      <c r="F111" s="32">
        <f>1/(1+F12)^(F5-2022)</f>
        <v/>
      </c>
      <c r="G111" s="32">
        <f>1/(1+G12)^(G5-2022)</f>
        <v/>
      </c>
      <c r="H111" s="32">
        <f>1/(1+H12)^(H5-2022)</f>
        <v/>
      </c>
      <c r="I111" s="32">
        <f>1/(1+I12)^(I5-2022)</f>
        <v/>
      </c>
      <c r="J111" s="32">
        <f>1/(1+J12)^(J5-2022)</f>
        <v/>
      </c>
      <c r="K111" s="32">
        <f>1/(1+K12)^(K5-2022)</f>
        <v/>
      </c>
      <c r="L111" s="32">
        <f>1/(1+L12)^(L5-2022)</f>
        <v/>
      </c>
    </row>
    <row r="112">
      <c r="B112" t="inlineStr">
        <is>
          <t>PV FCFF</t>
        </is>
      </c>
      <c r="C112" t="inlineStr">
        <is>
          <t>тыс руб</t>
        </is>
      </c>
      <c r="D112" s="28">
        <f>D110*D111</f>
        <v/>
      </c>
      <c r="E112" s="28">
        <f>E110*E111</f>
        <v/>
      </c>
      <c r="F112" s="28">
        <f>F110*F111</f>
        <v/>
      </c>
      <c r="G112" s="28">
        <f>G110*G111</f>
        <v/>
      </c>
      <c r="H112" s="28">
        <f>H110*H111</f>
        <v/>
      </c>
      <c r="I112" s="28">
        <f>I110*I111</f>
        <v/>
      </c>
      <c r="J112" s="28">
        <f>J110*J111</f>
        <v/>
      </c>
      <c r="K112" s="28">
        <f>K110*K111</f>
        <v/>
      </c>
      <c r="L112" s="28">
        <f>L110*L111</f>
        <v/>
      </c>
    </row>
    <row r="113">
      <c r="B113" t="inlineStr">
        <is>
          <t>Equity cash flow (для акционера)</t>
        </is>
      </c>
      <c r="C113" t="inlineStr">
        <is>
          <t>тыс руб</t>
        </is>
      </c>
      <c r="D113" s="28">
        <f>-D67+D76</f>
        <v/>
      </c>
      <c r="E113" s="28">
        <f>-E67+E76</f>
        <v/>
      </c>
      <c r="F113" s="28">
        <f>-F67+F76</f>
        <v/>
      </c>
      <c r="G113" s="28">
        <f>-G67+G76</f>
        <v/>
      </c>
      <c r="H113" s="28">
        <f>-H67+H76</f>
        <v/>
      </c>
      <c r="I113" s="28">
        <f>-I67+I76</f>
        <v/>
      </c>
      <c r="J113" s="28">
        <f>-J67+J76</f>
        <v/>
      </c>
      <c r="K113" s="28">
        <f>-K67+K76</f>
        <v/>
      </c>
      <c r="L113" s="28">
        <f>-L67+L76</f>
        <v/>
      </c>
    </row>
    <row r="114">
      <c r="B114" t="inlineStr">
        <is>
          <t>PV Equity CF</t>
        </is>
      </c>
      <c r="C114" t="inlineStr">
        <is>
          <t>тыс руб</t>
        </is>
      </c>
      <c r="D114" s="28">
        <f>D113*D111</f>
        <v/>
      </c>
      <c r="E114" s="28">
        <f>E113*E111</f>
        <v/>
      </c>
      <c r="F114" s="28">
        <f>F113*F111</f>
        <v/>
      </c>
      <c r="G114" s="28">
        <f>G113*G111</f>
        <v/>
      </c>
      <c r="H114" s="28">
        <f>H113*H111</f>
        <v/>
      </c>
      <c r="I114" s="28">
        <f>I113*I111</f>
        <v/>
      </c>
      <c r="J114" s="28">
        <f>J113*J111</f>
        <v/>
      </c>
      <c r="K114" s="28">
        <f>K113*K111</f>
        <v/>
      </c>
      <c r="L114" s="28">
        <f>L113*L111</f>
        <v/>
      </c>
    </row>
    <row r="115"/>
    <row r="116">
      <c r="B116" t="inlineStr">
        <is>
          <t>NPV проекта</t>
        </is>
      </c>
      <c r="C116">
        <f>SUM(D112:L112)</f>
        <v/>
      </c>
    </row>
    <row r="117">
      <c r="B117" t="inlineStr">
        <is>
          <t>IRR проекта</t>
        </is>
      </c>
      <c r="C117">
        <f>IFERROR(IRR(D110:L110),"n/a")</f>
        <v/>
      </c>
    </row>
    <row r="118">
      <c r="B118" t="inlineStr">
        <is>
          <t>NPV акционера</t>
        </is>
      </c>
      <c r="C118">
        <f>SUM(D114:L114)</f>
        <v/>
      </c>
    </row>
    <row r="119">
      <c r="B119" t="inlineStr">
        <is>
          <t>IRR акционера</t>
        </is>
      </c>
      <c r="C119">
        <f>IFERROR(IRR(D113:L113),"n/a")</f>
        <v/>
      </c>
    </row>
    <row r="120">
      <c r="B120" t="inlineStr">
        <is>
          <t>Год полного погашения долга</t>
        </is>
      </c>
      <c r="C120">
        <f>IFERROR(INDEX(D5:L5,MATCH(0,D71:L71,0)),"not repaid")</f>
        <v/>
      </c>
    </row>
    <row r="121">
      <c r="B121" t="inlineStr">
        <is>
          <t>Накопленные дивиденды</t>
        </is>
      </c>
      <c r="C121">
        <f>SUM(D76:L76)</f>
        <v/>
      </c>
    </row>
    <row r="122"/>
    <row r="123">
      <c r="B123" s="31" t="inlineStr">
        <is>
          <t>КОНТРОЛИ КАЧЕСТВА МОДЕЛИ</t>
        </is>
      </c>
    </row>
    <row r="124">
      <c r="B124" t="inlineStr">
        <is>
          <t>Дивиденды при долге (должно быть OK)</t>
        </is>
      </c>
      <c r="C124">
        <f>IF(SUMPRODUCT(--(D71:L71&gt;0),--(D76:L76&gt;0))=0,"OK","FAIL")</f>
        <v/>
      </c>
    </row>
    <row r="125">
      <c r="B125" t="inlineStr">
        <is>
          <t>Сходимость баланса (должно быть OK)</t>
        </is>
      </c>
      <c r="C125">
        <f>IF(MAX(ABS(D96),ABS(E96),ABS(F96),ABS(G96),ABS(H96),ABS(I96),ABS(J96),ABS(K96),ABS(L96))&lt;1,"OK","FAIL")</f>
        <v/>
      </c>
    </row>
    <row r="126">
      <c r="B126" t="inlineStr">
        <is>
          <t>Сходимость CF-моста (должно быть OK)</t>
        </is>
      </c>
      <c r="C126">
        <f>IF(MAX(ABS(D107),ABS(E107),ABS(F107),ABS(G107),ABS(H107),ABS(I107),ABS(J107),ABS(K107),ABS(L107))&lt;1,"OK","FAIL")</f>
        <v/>
      </c>
    </row>
    <row r="127"/>
    <row r="128">
      <c r="B128" s="31" t="inlineStr">
        <is>
          <t>GAME THEORY: матрица выплат (Equity NPV)</t>
        </is>
      </c>
    </row>
    <row r="129">
      <c r="B129" s="33" t="inlineStr">
        <is>
          <t>Стратегия</t>
        </is>
      </c>
      <c r="C129" s="33" t="inlineStr">
        <is>
          <t>Bear</t>
        </is>
      </c>
      <c r="D129" s="33" t="inlineStr">
        <is>
          <t>Base</t>
        </is>
      </c>
      <c r="E129" s="33" t="inlineStr">
        <is>
          <t>Bull</t>
        </is>
      </c>
      <c r="F129" s="33" t="inlineStr">
        <is>
          <t>Min payoff</t>
        </is>
      </c>
      <c r="G129" s="33" t="inlineStr">
        <is>
          <t>Max regret</t>
        </is>
      </c>
      <c r="H129" s="33" t="inlineStr">
        <is>
          <t>Фактор стратегии</t>
        </is>
      </c>
      <c r="J129" s="24" t="inlineStr">
        <is>
          <t>Факторы сценариев</t>
        </is>
      </c>
    </row>
    <row r="130">
      <c r="B130" t="inlineStr">
        <is>
          <t>S1 Conservative</t>
        </is>
      </c>
      <c r="C130">
        <f>$C$118*$K$130*$H130</f>
        <v/>
      </c>
      <c r="D130" s="28">
        <f>$C$118*$K$131*$H130</f>
        <v/>
      </c>
      <c r="E130" s="28">
        <f>$C$118*$K$132*$H130</f>
        <v/>
      </c>
      <c r="F130" s="28">
        <f>MIN(C130:E130)</f>
        <v/>
      </c>
      <c r="G130" s="28">
        <f>MAX(MAX(C$130:C$132)-C130,MAX(D$130:D$132)-D130,MAX(E$130:E$132)-E130)</f>
        <v/>
      </c>
      <c r="H130" t="n">
        <v>0.95</v>
      </c>
      <c r="J130" t="inlineStr">
        <is>
          <t>Bear</t>
        </is>
      </c>
      <c r="K130" s="28">
        <f>((0.7*0.8+0.3*0.9)/(1+0.03))</f>
        <v/>
      </c>
    </row>
    <row r="131">
      <c r="B131" t="inlineStr">
        <is>
          <t>S2 Base</t>
        </is>
      </c>
      <c r="C131">
        <f>$C$118*$K$130*$H131</f>
        <v/>
      </c>
      <c r="D131" s="28">
        <f>$C$118*$K$131*$H131</f>
        <v/>
      </c>
      <c r="E131" s="28">
        <f>$C$118*$K$132*$H131</f>
        <v/>
      </c>
      <c r="F131" s="28">
        <f>MIN(C131:E131)</f>
        <v/>
      </c>
      <c r="G131" s="28">
        <f>MAX(MAX(C$130:C$132)-C131,MAX(D$130:D$132)-D131,MAX(E$130:E$132)-E131)</f>
        <v/>
      </c>
      <c r="H131" t="n">
        <v>1</v>
      </c>
      <c r="J131" t="inlineStr">
        <is>
          <t>Base</t>
        </is>
      </c>
      <c r="K131" s="28">
        <f>1</f>
        <v/>
      </c>
    </row>
    <row r="132">
      <c r="B132" t="inlineStr">
        <is>
          <t>S3 Aggressive</t>
        </is>
      </c>
      <c r="C132">
        <f>$C$118*$K$130*$H132</f>
        <v/>
      </c>
      <c r="D132" s="28">
        <f>$C$118*$K$131*$H132</f>
        <v/>
      </c>
      <c r="E132" s="28">
        <f>$C$118*$K$132*$H132</f>
        <v/>
      </c>
      <c r="F132" s="28">
        <f>MIN(C132:E132)</f>
        <v/>
      </c>
      <c r="G132" s="28">
        <f>MAX(MAX(C$130:C$132)-C132,MAX(D$130:D$132)-D132,MAX(E$130:E$132)-E132)</f>
        <v/>
      </c>
      <c r="H132" t="n">
        <v>1.02</v>
      </c>
      <c r="J132" t="inlineStr">
        <is>
          <t>Bull</t>
        </is>
      </c>
      <c r="K132" s="28">
        <f>((0.7*1.15+0.3*1.05)/(1-0.02))</f>
        <v/>
      </c>
    </row>
    <row r="133"/>
    <row r="134">
      <c r="B134" t="inlineStr">
        <is>
          <t>Рекомендуемая стратегия (критерий maximin)</t>
        </is>
      </c>
      <c r="C134">
        <f>INDEX(B130:B132,MATCH(MAX(F130:F132),F130:F132,0))</f>
        <v/>
      </c>
    </row>
    <row r="135">
      <c r="B135" t="inlineStr">
        <is>
          <t>Рекомендуемая стратегия (критерий minimax regret)</t>
        </is>
      </c>
      <c r="C135">
        <f>INDEX(B130:B132,MATCH(MIN(G130:G132),G130:G132,0))</f>
        <v/>
      </c>
    </row>
    <row r="136">
      <c r="B136" t="inlineStr">
        <is>
          <t>Итоговая рекомендация</t>
        </is>
      </c>
      <c r="C136">
        <f>IF(C134=C135,C134,C134&amp;" (приоритет maximin)")</f>
        <v/>
      </c>
    </row>
  </sheetData>
  <mergeCells count="1">
    <mergeCell ref="B2:L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Сергей Чернов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2026-03-01T15:43:41+00:00Z</dcterms:modified>
  <cp:lastModifiedBy>Sergey Chernov</cp:lastModifiedBy>
</cp:coreProperties>
</file>