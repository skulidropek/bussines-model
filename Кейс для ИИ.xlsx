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zazaz\Desktop\0. 2020\2021\Собеседования\2021\АРМЗ\FINAL\"/>
    </mc:Choice>
  </mc:AlternateContent>
  <xr:revisionPtr revIDLastSave="0" documentId="13_ncr:1_{9FDEA80F-2A0C-43FB-B3B8-6431B52D68D1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Лист1" sheetId="3" r:id="rId1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3" l="1"/>
  <c r="B32" i="3"/>
  <c r="D31" i="3"/>
  <c r="B31" i="3"/>
  <c r="E10" i="3"/>
  <c r="F10" i="3" s="1"/>
  <c r="G10" i="3" s="1"/>
  <c r="H10" i="3" s="1"/>
  <c r="I10" i="3" s="1"/>
  <c r="J10" i="3" s="1"/>
  <c r="K10" i="3" s="1"/>
  <c r="L10" i="3" s="1"/>
  <c r="D10" i="3"/>
  <c r="D8" i="3"/>
  <c r="E8" i="3" s="1"/>
  <c r="F8" i="3" s="1"/>
  <c r="G8" i="3" s="1"/>
  <c r="H8" i="3" s="1"/>
  <c r="I8" i="3" s="1"/>
  <c r="J8" i="3" s="1"/>
  <c r="K8" i="3" s="1"/>
  <c r="L8" i="3" s="1"/>
</calcChain>
</file>

<file path=xl/sharedStrings.xml><?xml version="1.0" encoding="utf-8"?>
<sst xmlns="http://schemas.openxmlformats.org/spreadsheetml/2006/main" count="36" uniqueCount="30">
  <si>
    <t>Дано: 
Акционер собирается приобрести в 2022 г. лицензию на месторождение благородного металла за 1,5 млрд руб. 
Покупателем лицензии  будет специально созданная "пустая"  компания- оператор (SPV), в которой акционер владеет 100% акций.  Эта же компания будет вести добычную  деятельность и реализовывать продукцию.  Для отработки месторождения на SPV будет закуплена карьерная техника и прочее оборудование на общую сумму 4,5 млрд руб. (график оплаты и оприходования в таблице ниже).  
Добыча начинается в 2024 г. График добычи и производственно-экономические показатели приведены в таблице.
Для финансирования проекта акцинер вкладывает в уставный капитал SPV взнос в размере 1 млрд руб в 2022 г, а также привлекает на SPV кредитную линию  на сумму непокрытого финансирования по ставке 10% годовых на неограниченный срок. На погашение кредита направляются полностью все свободные средства SPV. До момента полного погашения кредита действует мораторий на выплату  дивидендов.
Задача: построить для SPV  3 формы отчетности по годам (P&amp;L, BS, CF с автоматическим расчетом потребности в кредитовании)  и рассчитать показатели эффективности (NPV /IRR) проекта в целом и персонально для акционера. 
Допущения: 
- начисление и выплата %% происходит в конце года  на сумму остатка задолженностии на конец года 
- пренебречь расчетом НДС, амортизации и налога на имущество
- считать, что прочие налоги начисляются и выплачиваются в одном периоде
- учесть влияние инфляции
- считать ставку дисконта для проекта в целом и для акционера одинаковой
- остальные неуказанные здесь допущения делаются экзаменуемым самостоятельно с обязательным описанием при направлении ответа  
РАСЧЕТ ПРОИЗВОДИТЬ НА ЭТОМ ЖЕ  ЛИСТЕ НИЖЕ ИСХОДНЫХ ДАННЫХ, не интегрировать в другие заранее подготовленные "считалки"</t>
  </si>
  <si>
    <t xml:space="preserve">ед. изм </t>
  </si>
  <si>
    <t xml:space="preserve">Макропараметры </t>
  </si>
  <si>
    <t>темп инфляции (для всех видов расходов)</t>
  </si>
  <si>
    <t xml:space="preserve">   то же накопительно </t>
  </si>
  <si>
    <t>темп инфляции (для всех видов доходов)</t>
  </si>
  <si>
    <t>цена на металл (без инфляции и НДС)</t>
  </si>
  <si>
    <t>тыс. руб/кг</t>
  </si>
  <si>
    <t>Ставка дисконта WACC</t>
  </si>
  <si>
    <t xml:space="preserve">НДПИ </t>
  </si>
  <si>
    <t xml:space="preserve">ставка по кредиту </t>
  </si>
  <si>
    <t xml:space="preserve">Производственные параметры </t>
  </si>
  <si>
    <t xml:space="preserve">добыча руды </t>
  </si>
  <si>
    <t>тыс. тн/год</t>
  </si>
  <si>
    <t>содержание Металла в руде</t>
  </si>
  <si>
    <t>г/тн</t>
  </si>
  <si>
    <t>Удельная себестоимость добычи руды (без инфляции и НДС)</t>
  </si>
  <si>
    <t>тыс руб/тн руды</t>
  </si>
  <si>
    <t>Удельная себестоимость переработки Ме (без инфляции и НДС)</t>
  </si>
  <si>
    <t>тыс руб/кг Мe</t>
  </si>
  <si>
    <t>Прочие постоянные расходы (без инфляции и НДС)</t>
  </si>
  <si>
    <t xml:space="preserve">тыс руб </t>
  </si>
  <si>
    <t xml:space="preserve">Оборачиваемость дебиторской задолженности </t>
  </si>
  <si>
    <t>дней</t>
  </si>
  <si>
    <t>Оборачиваемость кредиторской задолженности</t>
  </si>
  <si>
    <t xml:space="preserve">Капексы </t>
  </si>
  <si>
    <t xml:space="preserve">финансирование поставки  (с учетом инфляции без НДС) </t>
  </si>
  <si>
    <t>лицензия</t>
  </si>
  <si>
    <t xml:space="preserve">карьерное  оборудование </t>
  </si>
  <si>
    <t>Освоение и ввод в эксплуатацию (с учетом инфляции без НДС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</si>
</sst>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4">
    <xf numFmtId="0" fontId="0" fillId="0" borderId="0" xfId="0"/>
    <xf numFmtId="0" fontId="1" fillId="0" borderId="0" xfId="1"/>
    <xf numFmtId="0" fontId="3" fillId="0" borderId="0" xfId="1" applyFont="1" applyAlignment="1">
      <alignment horizontal="center"/>
    </xf>
    <xf numFmtId="0" fontId="2" fillId="0" borderId="0" xfId="1" applyFont="1"/>
    <xf numFmtId="0" fontId="4" fillId="0" borderId="0" xfId="1" applyFont="1" applyAlignment="1">
      <alignment horizontal="center"/>
    </xf>
    <xf numFmtId="0" fontId="2" fillId="2" borderId="0" xfId="1" applyFont="1" applyFill="1"/>
    <xf numFmtId="0" fontId="4" fillId="2" borderId="0" xfId="1" applyFont="1" applyFill="1" applyAlignment="1">
      <alignment horizontal="center"/>
    </xf>
    <xf numFmtId="9" fontId="1" fillId="0" borderId="0" xfId="1" applyNumberFormat="1"/>
    <xf numFmtId="0" fontId="3" fillId="0" borderId="0" xfId="1" applyFont="1"/>
    <xf numFmtId="9" fontId="3" fillId="0" borderId="0" xfId="1" applyNumberFormat="1" applyFont="1"/>
    <xf numFmtId="1" fontId="1" fillId="0" borderId="0" xfId="1" applyNumberFormat="1"/>
    <xf numFmtId="0" fontId="3" fillId="2" borderId="0" xfId="1" applyFont="1" applyFill="1" applyAlignment="1">
      <alignment horizontal="center"/>
    </xf>
    <xf numFmtId="9" fontId="1" fillId="2" borderId="0" xfId="1" applyNumberFormat="1" applyFill="1"/>
    <xf numFmtId="0" fontId="1" fillId="2" borderId="0" xfId="1" applyFill="1"/>
    <xf numFmtId="3" fontId="1" fillId="0" borderId="0" xfId="1" applyNumberFormat="1"/>
    <xf numFmtId="3" fontId="2" fillId="2" borderId="0" xfId="1" applyNumberFormat="1" applyFont="1" applyFill="1"/>
    <xf numFmtId="3" fontId="2" fillId="0" borderId="0" xfId="1" applyNumberFormat="1" applyFont="1"/>
    <xf numFmtId="3" fontId="1" fillId="0" borderId="0" xfId="1" applyNumberFormat="1" applyAlignment="1">
      <alignment horizontal="right"/>
    </xf>
    <xf numFmtId="3" fontId="1" fillId="0" borderId="0" xfId="1" applyNumberFormat="1" applyAlignment="1">
      <alignment horizontal="center"/>
    </xf>
    <xf numFmtId="0" fontId="4" fillId="0" borderId="0" xfId="1" applyFont="1"/>
    <xf numFmtId="2" fontId="4" fillId="0" borderId="0" xfId="1" applyNumberFormat="1" applyFont="1"/>
    <xf numFmtId="3" fontId="4" fillId="0" borderId="0" xfId="1" applyNumberFormat="1" applyFont="1" applyAlignment="1">
      <alignment horizontal="center"/>
    </xf>
    <xf numFmtId="9" fontId="4" fillId="0" borderId="0" xfId="1" applyNumberFormat="1" applyFont="1" applyAlignment="1">
      <alignment horizontal="center"/>
    </xf>
    <xf numFmtId="0" fontId="1" fillId="3" borderId="0" xfId="1" applyFill="1" applyAlignment="1">
      <alignment horizontal="left" vertical="top" wrapText="1"/>
    </xf>
  </cellXfs>
  <cellStyles count="2">
    <cellStyle name="Обычный" xfId="0" builtinId="0"/>
    <cellStyle name="Обычный 2" xfId="1" xr:uid="{0BD9D78C-42E8-4128-AF8A-323AF5CC729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F3959-26BD-4F76-9B13-51C27700A896}">
  <dimension ref="B2:N52"/>
  <sheetViews>
    <sheetView showGridLines="0" tabSelected="1" zoomScale="85" zoomScaleNormal="85" workbookViewId="0">
      <selection activeCell="B2" sqref="B2:L2"/>
    </sheetView>
  </sheetViews>
  <sheetFormatPr defaultRowHeight="14.4" x14ac:dyDescent="0.3"/>
  <cols>
    <col min="1" max="1" width="2.44140625" style="1" customWidth="1"/>
    <col min="2" max="2" width="59.109375" style="1" customWidth="1"/>
    <col min="3" max="3" width="17.5546875" style="2" customWidth="1"/>
    <col min="4" max="4" width="12.109375" style="1" customWidth="1"/>
    <col min="5" max="5" width="10.44140625" style="1" customWidth="1"/>
    <col min="6" max="6" width="11.44140625" style="1" customWidth="1"/>
    <col min="7" max="7" width="11.88671875" style="1" customWidth="1"/>
    <col min="8" max="8" width="11.109375" style="1" customWidth="1"/>
    <col min="9" max="9" width="11.6640625" style="1" customWidth="1"/>
    <col min="10" max="10" width="10.88671875" style="1" customWidth="1"/>
    <col min="11" max="11" width="11.44140625" style="1" customWidth="1"/>
    <col min="12" max="12" width="11.33203125" style="1" customWidth="1"/>
    <col min="13" max="13" width="8.88671875" style="1"/>
    <col min="14" max="14" width="11" style="1" bestFit="1" customWidth="1"/>
    <col min="15" max="16384" width="8.88671875" style="1"/>
  </cols>
  <sheetData>
    <row r="2" spans="2:13" ht="42" customHeight="1" x14ac:dyDescent="0.3">
      <c r="B2" s="23" t="s">
        <v>0</v>
      </c>
      <c r="C2" s="23"/>
      <c r="D2" s="23"/>
      <c r="E2" s="23"/>
      <c r="F2" s="23"/>
      <c r="G2" s="23"/>
      <c r="H2" s="23"/>
      <c r="I2" s="23"/>
      <c r="J2" s="23"/>
      <c r="K2" s="23"/>
      <c r="L2" s="23"/>
    </row>
    <row r="3" spans="2:13" x14ac:dyDescent="0.3">
      <c r="M3" s="3"/>
    </row>
    <row r="4" spans="2:13" x14ac:dyDescent="0.3">
      <c r="D4" s="1">
        <v>1</v>
      </c>
      <c r="E4" s="1">
        <v>2</v>
      </c>
      <c r="F4" s="1">
        <v>3</v>
      </c>
      <c r="G4" s="1">
        <v>4</v>
      </c>
      <c r="H4" s="1">
        <v>5</v>
      </c>
      <c r="I4" s="1">
        <v>6</v>
      </c>
      <c r="J4" s="1">
        <v>7</v>
      </c>
      <c r="K4" s="1">
        <v>8</v>
      </c>
      <c r="L4" s="1">
        <v>9</v>
      </c>
      <c r="M4" s="3"/>
    </row>
    <row r="5" spans="2:13" x14ac:dyDescent="0.3">
      <c r="C5" s="2" t="s">
        <v>1</v>
      </c>
      <c r="D5" s="1">
        <v>2022</v>
      </c>
      <c r="E5" s="1">
        <v>2023</v>
      </c>
      <c r="F5" s="1">
        <v>2024</v>
      </c>
      <c r="G5" s="1">
        <v>2025</v>
      </c>
      <c r="H5" s="1">
        <v>2026</v>
      </c>
      <c r="I5" s="1">
        <v>2027</v>
      </c>
      <c r="J5" s="1">
        <v>2028</v>
      </c>
      <c r="K5" s="1">
        <v>2029</v>
      </c>
      <c r="L5" s="1">
        <v>2030</v>
      </c>
      <c r="M5" s="3"/>
    </row>
    <row r="6" spans="2:13" s="5" customFormat="1" x14ac:dyDescent="0.3">
      <c r="B6" s="5" t="s">
        <v>2</v>
      </c>
      <c r="C6" s="6"/>
    </row>
    <row r="7" spans="2:13" x14ac:dyDescent="0.3">
      <c r="B7" s="1" t="s">
        <v>3</v>
      </c>
      <c r="D7" s="7">
        <v>7.0000000000000007E-2</v>
      </c>
      <c r="E7" s="7">
        <v>0.06</v>
      </c>
      <c r="F7" s="7">
        <v>0.06</v>
      </c>
      <c r="G7" s="7">
        <v>0.06</v>
      </c>
      <c r="H7" s="7">
        <v>0.05</v>
      </c>
      <c r="I7" s="7">
        <v>0.05</v>
      </c>
      <c r="J7" s="7">
        <v>0.05</v>
      </c>
      <c r="K7" s="7">
        <v>0.05</v>
      </c>
      <c r="L7" s="7">
        <v>0.05</v>
      </c>
    </row>
    <row r="8" spans="2:13" s="8" customFormat="1" x14ac:dyDescent="0.3">
      <c r="B8" s="8" t="s">
        <v>4</v>
      </c>
      <c r="C8" s="2"/>
      <c r="D8" s="9">
        <f>(1+D7)</f>
        <v>1.07</v>
      </c>
      <c r="E8" s="9">
        <f>D8*(1+E7)</f>
        <v>1.1342000000000001</v>
      </c>
      <c r="F8" s="9">
        <f t="shared" ref="F8:L8" si="0">E8*(1+F7)</f>
        <v>1.2022520000000001</v>
      </c>
      <c r="G8" s="9">
        <f t="shared" si="0"/>
        <v>1.2743871200000001</v>
      </c>
      <c r="H8" s="9">
        <f t="shared" si="0"/>
        <v>1.3381064760000001</v>
      </c>
      <c r="I8" s="9">
        <f t="shared" si="0"/>
        <v>1.4050117998000002</v>
      </c>
      <c r="J8" s="9">
        <f t="shared" si="0"/>
        <v>1.4752623897900004</v>
      </c>
      <c r="K8" s="9">
        <f t="shared" si="0"/>
        <v>1.5490255092795004</v>
      </c>
      <c r="L8" s="9">
        <f t="shared" si="0"/>
        <v>1.6264767847434756</v>
      </c>
    </row>
    <row r="9" spans="2:13" x14ac:dyDescent="0.3">
      <c r="B9" s="1" t="s">
        <v>5</v>
      </c>
      <c r="D9" s="7">
        <v>0.02</v>
      </c>
      <c r="E9" s="7">
        <v>0.02</v>
      </c>
      <c r="F9" s="7">
        <v>0.02</v>
      </c>
      <c r="G9" s="7">
        <v>0.02</v>
      </c>
      <c r="H9" s="7">
        <v>0.02</v>
      </c>
      <c r="I9" s="7">
        <v>0.02</v>
      </c>
      <c r="J9" s="7">
        <v>0.02</v>
      </c>
      <c r="K9" s="7">
        <v>0.02</v>
      </c>
      <c r="L9" s="7">
        <v>0.02</v>
      </c>
    </row>
    <row r="10" spans="2:13" s="8" customFormat="1" x14ac:dyDescent="0.3">
      <c r="B10" s="8" t="s">
        <v>4</v>
      </c>
      <c r="C10" s="2"/>
      <c r="D10" s="9">
        <f>(1+D9)</f>
        <v>1.02</v>
      </c>
      <c r="E10" s="9">
        <f>D10*(1+E9)</f>
        <v>1.0404</v>
      </c>
      <c r="F10" s="9">
        <f t="shared" ref="F10:L10" si="1">E10*(1+F9)</f>
        <v>1.0612079999999999</v>
      </c>
      <c r="G10" s="9">
        <f t="shared" si="1"/>
        <v>1.08243216</v>
      </c>
      <c r="H10" s="9">
        <f t="shared" si="1"/>
        <v>1.1040808032</v>
      </c>
      <c r="I10" s="9">
        <f t="shared" si="1"/>
        <v>1.1261624192640001</v>
      </c>
      <c r="J10" s="9">
        <f t="shared" si="1"/>
        <v>1.14868566764928</v>
      </c>
      <c r="K10" s="9">
        <f t="shared" si="1"/>
        <v>1.1716593810022657</v>
      </c>
      <c r="L10" s="9">
        <f t="shared" si="1"/>
        <v>1.1950925686223111</v>
      </c>
    </row>
    <row r="11" spans="2:13" x14ac:dyDescent="0.3">
      <c r="B11" s="1" t="s">
        <v>6</v>
      </c>
      <c r="C11" s="2" t="s">
        <v>7</v>
      </c>
      <c r="D11" s="10">
        <v>2000</v>
      </c>
      <c r="E11" s="10">
        <v>2000</v>
      </c>
      <c r="F11" s="10">
        <v>2000</v>
      </c>
      <c r="G11" s="10">
        <v>2000</v>
      </c>
      <c r="H11" s="10">
        <v>2000</v>
      </c>
      <c r="I11" s="10">
        <v>2000</v>
      </c>
      <c r="J11" s="10">
        <v>2000</v>
      </c>
      <c r="K11" s="10">
        <v>2000</v>
      </c>
      <c r="L11" s="10">
        <v>2000</v>
      </c>
    </row>
    <row r="12" spans="2:13" x14ac:dyDescent="0.3">
      <c r="B12" s="1" t="s">
        <v>8</v>
      </c>
      <c r="D12" s="7">
        <v>0.12</v>
      </c>
      <c r="E12" s="7">
        <v>0.12</v>
      </c>
      <c r="F12" s="7">
        <v>0.12</v>
      </c>
      <c r="G12" s="7">
        <v>0.12</v>
      </c>
      <c r="H12" s="7">
        <v>0.12</v>
      </c>
      <c r="I12" s="7">
        <v>0.12</v>
      </c>
      <c r="J12" s="7">
        <v>0.12</v>
      </c>
      <c r="K12" s="7">
        <v>0.12</v>
      </c>
      <c r="L12" s="7">
        <v>0.12</v>
      </c>
    </row>
    <row r="13" spans="2:13" x14ac:dyDescent="0.3">
      <c r="B13" s="1" t="s">
        <v>9</v>
      </c>
      <c r="D13" s="7">
        <v>0.08</v>
      </c>
      <c r="E13" s="7">
        <v>0.08</v>
      </c>
      <c r="F13" s="7">
        <v>0.08</v>
      </c>
      <c r="G13" s="7">
        <v>0.08</v>
      </c>
      <c r="H13" s="7">
        <v>0.08</v>
      </c>
      <c r="I13" s="7">
        <v>0.08</v>
      </c>
      <c r="J13" s="7">
        <v>0.08</v>
      </c>
      <c r="K13" s="7">
        <v>0.08</v>
      </c>
      <c r="L13" s="7">
        <v>0.08</v>
      </c>
    </row>
    <row r="14" spans="2:13" x14ac:dyDescent="0.3">
      <c r="B14" s="1" t="s">
        <v>10</v>
      </c>
      <c r="D14" s="7">
        <v>0.1</v>
      </c>
      <c r="E14" s="7">
        <v>0.1</v>
      </c>
      <c r="F14" s="7">
        <v>0.1</v>
      </c>
      <c r="G14" s="7">
        <v>0.1</v>
      </c>
      <c r="H14" s="7">
        <v>0.1</v>
      </c>
      <c r="I14" s="7">
        <v>0.1</v>
      </c>
      <c r="J14" s="7">
        <v>0.1</v>
      </c>
      <c r="K14" s="7">
        <v>0.1</v>
      </c>
      <c r="L14" s="7">
        <v>0.1</v>
      </c>
    </row>
    <row r="15" spans="2:13" x14ac:dyDescent="0.3">
      <c r="D15" s="7"/>
      <c r="E15" s="7"/>
      <c r="F15" s="7"/>
      <c r="G15" s="7"/>
      <c r="H15" s="7"/>
      <c r="I15" s="7"/>
      <c r="J15" s="7"/>
      <c r="K15" s="7"/>
      <c r="L15" s="7"/>
    </row>
    <row r="16" spans="2:13" s="13" customFormat="1" x14ac:dyDescent="0.3">
      <c r="B16" s="5" t="s">
        <v>11</v>
      </c>
      <c r="C16" s="11"/>
      <c r="D16" s="12"/>
      <c r="E16" s="12"/>
      <c r="F16" s="12"/>
      <c r="G16" s="12"/>
      <c r="H16" s="12"/>
      <c r="I16" s="12"/>
      <c r="J16" s="12"/>
      <c r="K16" s="12"/>
      <c r="L16" s="12"/>
    </row>
    <row r="17" spans="2:12" x14ac:dyDescent="0.3">
      <c r="B17" s="1" t="s">
        <v>12</v>
      </c>
      <c r="C17" s="2" t="s">
        <v>13</v>
      </c>
      <c r="D17" s="14"/>
      <c r="E17" s="14"/>
      <c r="F17" s="14">
        <v>1500</v>
      </c>
      <c r="G17" s="14">
        <v>2100</v>
      </c>
      <c r="H17" s="14">
        <v>2150</v>
      </c>
      <c r="I17" s="14">
        <v>2000</v>
      </c>
      <c r="J17" s="14">
        <v>2000</v>
      </c>
      <c r="K17" s="14">
        <v>1800</v>
      </c>
      <c r="L17" s="14">
        <v>1700</v>
      </c>
    </row>
    <row r="18" spans="2:12" x14ac:dyDescent="0.3">
      <c r="B18" s="1" t="s">
        <v>14</v>
      </c>
      <c r="C18" s="2" t="s">
        <v>15</v>
      </c>
      <c r="D18" s="14">
        <v>2</v>
      </c>
      <c r="E18" s="14">
        <v>2</v>
      </c>
      <c r="F18" s="14">
        <v>2</v>
      </c>
      <c r="G18" s="14">
        <v>2</v>
      </c>
      <c r="H18" s="14">
        <v>2</v>
      </c>
      <c r="I18" s="14">
        <v>2</v>
      </c>
      <c r="J18" s="14">
        <v>2</v>
      </c>
      <c r="K18" s="14">
        <v>2</v>
      </c>
      <c r="L18" s="14">
        <v>2</v>
      </c>
    </row>
    <row r="19" spans="2:12" x14ac:dyDescent="0.3">
      <c r="B19" s="1" t="s">
        <v>16</v>
      </c>
      <c r="C19" s="2" t="s">
        <v>17</v>
      </c>
      <c r="D19" s="14">
        <v>1</v>
      </c>
      <c r="E19" s="14">
        <v>1</v>
      </c>
      <c r="F19" s="14">
        <v>1</v>
      </c>
      <c r="G19" s="14">
        <v>1</v>
      </c>
      <c r="H19" s="14">
        <v>1</v>
      </c>
      <c r="I19" s="14">
        <v>1</v>
      </c>
      <c r="J19" s="14">
        <v>1</v>
      </c>
      <c r="K19" s="14">
        <v>1</v>
      </c>
      <c r="L19" s="14">
        <v>1</v>
      </c>
    </row>
    <row r="20" spans="2:12" x14ac:dyDescent="0.3">
      <c r="B20" s="1" t="s">
        <v>18</v>
      </c>
      <c r="C20" s="2" t="s">
        <v>19</v>
      </c>
      <c r="D20" s="14">
        <v>100</v>
      </c>
      <c r="E20" s="14">
        <v>100</v>
      </c>
      <c r="F20" s="14">
        <v>100</v>
      </c>
      <c r="G20" s="14">
        <v>100</v>
      </c>
      <c r="H20" s="14">
        <v>100</v>
      </c>
      <c r="I20" s="14">
        <v>100</v>
      </c>
      <c r="J20" s="14">
        <v>100</v>
      </c>
      <c r="K20" s="14">
        <v>100</v>
      </c>
      <c r="L20" s="14">
        <v>100</v>
      </c>
    </row>
    <row r="21" spans="2:12" x14ac:dyDescent="0.3">
      <c r="B21" s="1" t="s">
        <v>20</v>
      </c>
      <c r="C21" s="2" t="s">
        <v>21</v>
      </c>
      <c r="D21" s="14">
        <v>0</v>
      </c>
      <c r="E21" s="14">
        <v>0</v>
      </c>
      <c r="F21" s="14">
        <v>50000</v>
      </c>
      <c r="G21" s="14">
        <v>50000</v>
      </c>
      <c r="H21" s="14">
        <v>50000</v>
      </c>
      <c r="I21" s="14">
        <v>50000</v>
      </c>
      <c r="J21" s="14">
        <v>50000</v>
      </c>
      <c r="K21" s="14">
        <v>50000</v>
      </c>
      <c r="L21" s="14">
        <v>50000</v>
      </c>
    </row>
    <row r="22" spans="2:12" x14ac:dyDescent="0.3">
      <c r="B22" s="1" t="s">
        <v>22</v>
      </c>
      <c r="C22" s="2" t="s">
        <v>23</v>
      </c>
      <c r="D22" s="14">
        <v>60</v>
      </c>
      <c r="E22" s="14">
        <v>60</v>
      </c>
      <c r="F22" s="14">
        <v>60</v>
      </c>
      <c r="G22" s="14">
        <v>60</v>
      </c>
      <c r="H22" s="14">
        <v>60</v>
      </c>
      <c r="I22" s="14">
        <v>60</v>
      </c>
      <c r="J22" s="14">
        <v>60</v>
      </c>
      <c r="K22" s="14">
        <v>60</v>
      </c>
      <c r="L22" s="14">
        <v>60</v>
      </c>
    </row>
    <row r="23" spans="2:12" x14ac:dyDescent="0.3">
      <c r="B23" s="1" t="s">
        <v>24</v>
      </c>
      <c r="C23" s="2" t="s">
        <v>23</v>
      </c>
      <c r="D23" s="14">
        <v>30</v>
      </c>
      <c r="E23" s="14">
        <v>30</v>
      </c>
      <c r="F23" s="14">
        <v>30</v>
      </c>
      <c r="G23" s="14">
        <v>30</v>
      </c>
      <c r="H23" s="14">
        <v>30</v>
      </c>
      <c r="I23" s="14">
        <v>30</v>
      </c>
      <c r="J23" s="14">
        <v>30</v>
      </c>
      <c r="K23" s="14">
        <v>30</v>
      </c>
      <c r="L23" s="14">
        <v>30</v>
      </c>
    </row>
    <row r="24" spans="2:12" x14ac:dyDescent="0.3">
      <c r="D24" s="14"/>
      <c r="E24" s="14"/>
      <c r="F24" s="14"/>
      <c r="G24" s="14"/>
      <c r="H24" s="14"/>
      <c r="I24" s="14"/>
      <c r="J24" s="14"/>
      <c r="K24" s="14"/>
      <c r="L24" s="14"/>
    </row>
    <row r="25" spans="2:12" s="5" customFormat="1" x14ac:dyDescent="0.3">
      <c r="B25" s="5" t="s">
        <v>25</v>
      </c>
      <c r="C25" s="6"/>
      <c r="D25" s="15"/>
      <c r="E25" s="15"/>
      <c r="F25" s="15"/>
      <c r="G25" s="15"/>
      <c r="H25" s="15"/>
      <c r="I25" s="15"/>
      <c r="J25" s="15"/>
      <c r="K25" s="15"/>
      <c r="L25" s="15"/>
    </row>
    <row r="26" spans="2:12" s="3" customFormat="1" x14ac:dyDescent="0.3">
      <c r="B26" s="3" t="s">
        <v>26</v>
      </c>
      <c r="C26" s="4"/>
      <c r="D26" s="16"/>
      <c r="E26" s="16"/>
      <c r="F26" s="16"/>
      <c r="G26" s="16"/>
      <c r="H26" s="16"/>
      <c r="I26" s="16"/>
      <c r="J26" s="16"/>
      <c r="K26" s="16"/>
      <c r="L26" s="16"/>
    </row>
    <row r="27" spans="2:12" x14ac:dyDescent="0.3">
      <c r="B27" s="1" t="s">
        <v>27</v>
      </c>
      <c r="C27" s="2" t="s">
        <v>21</v>
      </c>
      <c r="D27" s="14">
        <v>1500000</v>
      </c>
      <c r="E27" s="14"/>
      <c r="F27" s="14"/>
      <c r="G27" s="14"/>
      <c r="H27" s="14"/>
      <c r="I27" s="14"/>
      <c r="J27" s="14"/>
      <c r="K27" s="14"/>
      <c r="L27" s="14"/>
    </row>
    <row r="28" spans="2:12" x14ac:dyDescent="0.3">
      <c r="B28" s="1" t="s">
        <v>28</v>
      </c>
      <c r="C28" s="2" t="s">
        <v>21</v>
      </c>
      <c r="D28" s="14">
        <v>3000000</v>
      </c>
      <c r="E28" s="14">
        <v>1500000</v>
      </c>
      <c r="F28" s="14"/>
      <c r="G28" s="14"/>
      <c r="H28" s="14"/>
      <c r="I28" s="14"/>
      <c r="J28" s="14"/>
      <c r="K28" s="14"/>
      <c r="L28" s="14"/>
    </row>
    <row r="29" spans="2:12" x14ac:dyDescent="0.3">
      <c r="D29" s="14"/>
      <c r="E29" s="14"/>
      <c r="F29" s="14"/>
      <c r="G29" s="14"/>
      <c r="H29" s="14"/>
      <c r="I29" s="14"/>
      <c r="J29" s="14"/>
      <c r="K29" s="14"/>
      <c r="L29" s="14"/>
    </row>
    <row r="30" spans="2:12" x14ac:dyDescent="0.3">
      <c r="B30" s="3" t="s">
        <v>29</v>
      </c>
      <c r="D30" s="14"/>
      <c r="E30" s="14"/>
      <c r="F30" s="14"/>
      <c r="G30" s="14"/>
      <c r="H30" s="14"/>
      <c r="I30" s="14"/>
      <c r="J30" s="14"/>
      <c r="K30" s="14"/>
      <c r="L30" s="14"/>
    </row>
    <row r="31" spans="2:12" x14ac:dyDescent="0.3">
      <c r="B31" s="1" t="str">
        <f>B27</f>
        <v>лицензия</v>
      </c>
      <c r="C31" s="2" t="s">
        <v>21</v>
      </c>
      <c r="D31" s="17">
        <f>D27</f>
        <v>1500000</v>
      </c>
      <c r="F31" s="14"/>
      <c r="G31" s="14"/>
      <c r="H31" s="14"/>
      <c r="I31" s="14"/>
      <c r="J31" s="14"/>
      <c r="K31" s="14"/>
      <c r="L31" s="14"/>
    </row>
    <row r="32" spans="2:12" x14ac:dyDescent="0.3">
      <c r="B32" s="1" t="str">
        <f>B28</f>
        <v xml:space="preserve">карьерное  оборудование </v>
      </c>
      <c r="C32" s="2" t="s">
        <v>21</v>
      </c>
      <c r="D32" s="14"/>
      <c r="E32" s="18">
        <f>(D28+E28)</f>
        <v>4500000</v>
      </c>
      <c r="F32" s="14"/>
      <c r="G32" s="14"/>
      <c r="H32" s="14"/>
      <c r="I32" s="14"/>
      <c r="J32" s="14"/>
      <c r="K32" s="14"/>
      <c r="L32" s="14"/>
    </row>
    <row r="33" spans="2:14" x14ac:dyDescent="0.3">
      <c r="D33" s="14"/>
      <c r="E33" s="14"/>
      <c r="F33" s="14"/>
      <c r="G33" s="14"/>
      <c r="H33" s="14"/>
      <c r="I33" s="14"/>
      <c r="J33" s="14"/>
      <c r="K33" s="14"/>
      <c r="L33" s="14"/>
    </row>
    <row r="34" spans="2:14" x14ac:dyDescent="0.3">
      <c r="D34" s="14"/>
      <c r="E34" s="14"/>
      <c r="F34" s="14"/>
      <c r="G34" s="14"/>
      <c r="H34" s="14"/>
      <c r="I34" s="14"/>
      <c r="J34" s="14"/>
      <c r="K34" s="14"/>
      <c r="L34" s="14"/>
    </row>
    <row r="35" spans="2:14" x14ac:dyDescent="0.3">
      <c r="D35" s="14"/>
      <c r="E35" s="14"/>
      <c r="F35" s="14"/>
      <c r="G35" s="14"/>
      <c r="H35" s="14"/>
      <c r="I35" s="14"/>
      <c r="J35" s="14"/>
      <c r="K35" s="14"/>
      <c r="L35" s="14"/>
    </row>
    <row r="36" spans="2:14" x14ac:dyDescent="0.3">
      <c r="F36" s="14"/>
    </row>
    <row r="37" spans="2:14" x14ac:dyDescent="0.3">
      <c r="D37" s="14"/>
      <c r="E37" s="14"/>
      <c r="F37" s="14"/>
      <c r="G37" s="14"/>
      <c r="H37" s="14"/>
      <c r="I37" s="14"/>
      <c r="J37" s="14"/>
      <c r="K37" s="14"/>
      <c r="L37" s="14"/>
    </row>
    <row r="38" spans="2:14" x14ac:dyDescent="0.3">
      <c r="D38" s="14"/>
      <c r="E38" s="14"/>
      <c r="F38" s="14"/>
      <c r="G38" s="14"/>
      <c r="H38" s="14"/>
      <c r="I38" s="14"/>
      <c r="J38" s="14"/>
      <c r="K38" s="14"/>
      <c r="L38" s="14"/>
      <c r="N38" s="14"/>
    </row>
    <row r="39" spans="2:14" x14ac:dyDescent="0.3">
      <c r="D39" s="14"/>
      <c r="E39" s="14"/>
      <c r="F39" s="14"/>
      <c r="G39" s="14"/>
      <c r="H39" s="14"/>
      <c r="I39" s="14"/>
      <c r="J39" s="14"/>
      <c r="K39" s="14"/>
      <c r="L39" s="14"/>
    </row>
    <row r="40" spans="2:14" s="19" customFormat="1" x14ac:dyDescent="0.3">
      <c r="C40" s="4"/>
      <c r="D40" s="20"/>
      <c r="E40" s="20"/>
      <c r="F40" s="20"/>
      <c r="G40" s="20"/>
      <c r="H40" s="20"/>
      <c r="I40" s="20"/>
      <c r="J40" s="20"/>
      <c r="K40" s="20"/>
      <c r="L40" s="20"/>
    </row>
    <row r="41" spans="2:14" x14ac:dyDescent="0.3">
      <c r="D41" s="14"/>
      <c r="E41" s="14"/>
      <c r="F41" s="14"/>
      <c r="G41" s="14"/>
      <c r="H41" s="14"/>
      <c r="I41" s="14"/>
      <c r="J41" s="14"/>
      <c r="K41" s="14"/>
      <c r="L41" s="14"/>
    </row>
    <row r="42" spans="2:14" x14ac:dyDescent="0.3">
      <c r="D42" s="14"/>
      <c r="E42" s="14"/>
      <c r="F42" s="14"/>
      <c r="G42" s="14"/>
      <c r="H42" s="14"/>
      <c r="I42" s="14"/>
      <c r="J42" s="14"/>
      <c r="K42" s="14"/>
      <c r="L42" s="14"/>
    </row>
    <row r="43" spans="2:14" x14ac:dyDescent="0.3">
      <c r="B43" s="3"/>
      <c r="C43" s="21"/>
    </row>
    <row r="44" spans="2:14" x14ac:dyDescent="0.3">
      <c r="B44" s="3"/>
      <c r="C44" s="22"/>
    </row>
    <row r="47" spans="2:14" x14ac:dyDescent="0.3">
      <c r="D47" s="14"/>
      <c r="E47" s="14"/>
      <c r="F47" s="14"/>
      <c r="G47" s="14"/>
      <c r="H47" s="14"/>
      <c r="I47" s="14"/>
      <c r="J47" s="14"/>
      <c r="K47" s="14"/>
      <c r="L47" s="14"/>
    </row>
    <row r="48" spans="2:14" x14ac:dyDescent="0.3">
      <c r="D48" s="14"/>
      <c r="E48" s="14"/>
      <c r="F48" s="14"/>
      <c r="G48" s="14"/>
      <c r="H48" s="14"/>
      <c r="I48" s="14"/>
      <c r="J48" s="14"/>
      <c r="K48" s="14"/>
      <c r="L48" s="14"/>
    </row>
    <row r="49" spans="2:12" x14ac:dyDescent="0.3">
      <c r="D49" s="14"/>
      <c r="E49" s="14"/>
      <c r="F49" s="14"/>
      <c r="G49" s="14"/>
      <c r="H49" s="14"/>
      <c r="I49" s="14"/>
      <c r="J49" s="14"/>
      <c r="K49" s="14"/>
      <c r="L49" s="14"/>
    </row>
    <row r="50" spans="2:12" x14ac:dyDescent="0.3">
      <c r="D50" s="14"/>
      <c r="E50" s="14"/>
      <c r="F50" s="14"/>
      <c r="G50" s="14"/>
      <c r="H50" s="14"/>
      <c r="I50" s="14"/>
      <c r="J50" s="14"/>
      <c r="K50" s="14"/>
      <c r="L50" s="14"/>
    </row>
    <row r="51" spans="2:12" x14ac:dyDescent="0.3">
      <c r="B51" s="3"/>
      <c r="C51" s="21"/>
    </row>
    <row r="52" spans="2:12" x14ac:dyDescent="0.3">
      <c r="B52" s="3"/>
      <c r="C52" s="22"/>
    </row>
  </sheetData>
  <mergeCells count="1">
    <mergeCell ref="B2:L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Сергей Чернов</dc:creator>
  <cp:lastModifiedBy>Sergey Chernov</cp:lastModifiedBy>
  <dcterms:created xsi:type="dcterms:W3CDTF">2015-06-05T18:19:34Z</dcterms:created>
  <dcterms:modified xsi:type="dcterms:W3CDTF">2026-03-01T14:01:08Z</dcterms:modified>
</cp:coreProperties>
</file>