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i val="1"/>
      <color theme="1"/>
      <sz val="11"/>
      <scheme val="minor"/>
    </font>
    <font>
      <name val="Calibri"/>
      <charset val="204"/>
      <family val="2"/>
      <b val="1"/>
      <i val="1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pivotButton="0" quotePrefix="0" xfId="0"/>
    <xf numFmtId="0" fontId="1" fillId="0" borderId="0" pivotButton="0" quotePrefix="0" xfId="1"/>
    <xf numFmtId="0" fontId="3" fillId="0" borderId="0" applyAlignment="1" pivotButton="0" quotePrefix="0" xfId="1">
      <alignment horizontal="center"/>
    </xf>
    <xf numFmtId="0" fontId="2" fillId="0" borderId="0" pivotButton="0" quotePrefix="0" xfId="1"/>
    <xf numFmtId="0" fontId="4" fillId="0" borderId="0" applyAlignment="1" pivotButton="0" quotePrefix="0" xfId="1">
      <alignment horizontal="center"/>
    </xf>
    <xf numFmtId="0" fontId="2" fillId="2" borderId="0" pivotButton="0" quotePrefix="0" xfId="1"/>
    <xf numFmtId="0" fontId="4" fillId="2" borderId="0" applyAlignment="1" pivotButton="0" quotePrefix="0" xfId="1">
      <alignment horizontal="center"/>
    </xf>
    <xf numFmtId="9" fontId="1" fillId="0" borderId="0" pivotButton="0" quotePrefix="0" xfId="1"/>
    <xf numFmtId="0" fontId="3" fillId="0" borderId="0" pivotButton="0" quotePrefix="0" xfId="1"/>
    <xf numFmtId="9" fontId="3" fillId="0" borderId="0" pivotButton="0" quotePrefix="0" xfId="1"/>
    <xf numFmtId="1" fontId="1" fillId="0" borderId="0" pivotButton="0" quotePrefix="0" xfId="1"/>
    <xf numFmtId="0" fontId="3" fillId="2" borderId="0" applyAlignment="1" pivotButton="0" quotePrefix="0" xfId="1">
      <alignment horizontal="center"/>
    </xf>
    <xf numFmtId="9" fontId="1" fillId="2" borderId="0" pivotButton="0" quotePrefix="0" xfId="1"/>
    <xf numFmtId="0" fontId="1" fillId="2" borderId="0" pivotButton="0" quotePrefix="0" xfId="1"/>
    <xf numFmtId="3" fontId="1" fillId="0" borderId="0" pivotButton="0" quotePrefix="0" xfId="1"/>
    <xf numFmtId="3" fontId="2" fillId="2" borderId="0" pivotButton="0" quotePrefix="0" xfId="1"/>
    <xf numFmtId="3" fontId="2" fillId="0" borderId="0" pivotButton="0" quotePrefix="0" xfId="1"/>
    <xf numFmtId="3" fontId="1" fillId="0" borderId="0" applyAlignment="1" pivotButton="0" quotePrefix="0" xfId="1">
      <alignment horizontal="right"/>
    </xf>
    <xf numFmtId="3" fontId="1" fillId="0" borderId="0" applyAlignment="1" pivotButton="0" quotePrefix="0" xfId="1">
      <alignment horizontal="center"/>
    </xf>
    <xf numFmtId="0" fontId="4" fillId="0" borderId="0" pivotButton="0" quotePrefix="0" xfId="1"/>
    <xf numFmtId="2" fontId="4" fillId="0" borderId="0" pivotButton="0" quotePrefix="0" xfId="1"/>
    <xf numFmtId="3" fontId="4" fillId="0" borderId="0" applyAlignment="1" pivotButton="0" quotePrefix="0" xfId="1">
      <alignment horizontal="center"/>
    </xf>
    <xf numFmtId="9" fontId="4" fillId="0" borderId="0" applyAlignment="1" pivotButton="0" quotePrefix="0" xfId="1">
      <alignment horizontal="center"/>
    </xf>
    <xf numFmtId="0" fontId="1" fillId="3" borderId="0" applyAlignment="1" pivotButton="0" quotePrefix="0" xfId="1">
      <alignment horizontal="left" vertical="top" wrapText="1"/>
    </xf>
    <xf numFmtId="0" fontId="5" fillId="0" borderId="0" pivotButton="0" quotePrefix="0" xfId="0"/>
    <xf numFmtId="3" fontId="5" fillId="4" borderId="0" applyAlignment="1" pivotButton="0" quotePrefix="0" xfId="1">
      <alignment horizontal="center"/>
    </xf>
    <xf numFmtId="0" fontId="0" fillId="5" borderId="0" pivotButton="0" quotePrefix="0" xfId="0"/>
    <xf numFmtId="0" fontId="5" fillId="4" borderId="0" pivotButton="0" quotePrefix="0" xfId="1"/>
    <xf numFmtId="3" fontId="0" fillId="0" borderId="0" pivotButton="0" quotePrefix="0" xfId="0"/>
    <xf numFmtId="4" fontId="0" fillId="0" borderId="0" pivotButton="0" quotePrefix="0" xfId="0"/>
    <xf numFmtId="4" fontId="1" fillId="0" borderId="0" pivotButton="0" quotePrefix="0" xfId="1"/>
    <xf numFmtId="0" fontId="5" fillId="4" borderId="0" pivotButton="0" quotePrefix="0" xfId="0"/>
    <xf numFmtId="164" fontId="0" fillId="0" borderId="0" pivotButton="0" quotePrefix="0" xfId="0"/>
    <xf numFmtId="0" fontId="5" fillId="5" borderId="0" pivotButton="0" quotePrefix="0" xfId="0"/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391"/>
  <sheetViews>
    <sheetView showGridLines="0" tabSelected="1" zoomScale="85" zoomScaleNormal="85" workbookViewId="0">
      <selection activeCell="B2" sqref="B2:L2"/>
    </sheetView>
  </sheetViews>
  <sheetFormatPr baseColWidth="8" defaultRowHeight="14.4"/>
  <cols>
    <col width="2.44140625" customWidth="1" style="1" min="1" max="1"/>
    <col width="68" customWidth="1" style="1" min="2" max="2"/>
    <col width="24" customWidth="1" style="2" min="3" max="3"/>
    <col width="14" customWidth="1" style="1" min="4" max="4"/>
    <col width="14" customWidth="1" style="1" min="5" max="5"/>
    <col width="14" customWidth="1" style="1" min="6" max="6"/>
    <col width="14" customWidth="1" style="1" min="7" max="7"/>
    <col width="14" customWidth="1" style="1" min="8" max="8"/>
    <col width="14" customWidth="1" style="1" min="9" max="9"/>
    <col width="14" customWidth="1" style="1" min="10" max="10"/>
    <col width="14" customWidth="1" style="1" min="11" max="11"/>
    <col width="14" customWidth="1" style="1" min="12" max="12"/>
    <col width="8.88671875" customWidth="1" style="1" min="13" max="13"/>
    <col width="11" bestFit="1" customWidth="1" style="1" min="14" max="14"/>
    <col width="8.88671875" customWidth="1" style="1" min="15" max="16384"/>
  </cols>
  <sheetData>
    <row r="2" ht="42" customHeight="1">
      <c r="B2" s="23" t="inlineStr">
        <is>
          <t>Дано: 
Акционер собирается приобрести в 2022 г. лицензию на месторождение благородного металла за 1,5 млрд руб. 
Покупателем лицензии  будет специально созданная "пустая"  компания- оператор (SPV), в которой акционер владеет 100% акций.  Эта же компания будет вести добычную  деятельность и реализовывать продукцию.  Для отработки месторождения на SPV будет закуплена карьерная техника и прочее оборудование на общую сумму 4,5 млрд руб. (график оплаты и оприходования в таблице ниже).  
Добыча начинается в 2024 г. График добычи и производственно-экономические показатели приведены в таблице.
Для финансирования проекта акцинер вкладывает в уставный капитал SPV взнос в размере 1 млрд руб в 2022 г, а также привлекает на SPV кредитную линию  на сумму непокрытого финансирования по ставке 10% годовых на неограниченный срок. На погашение кредита направляются полностью все свободные средства SPV. До момента полного погашения кредита действует мораторий на выплату  дивидендов.
Задача: построить для SPV  3 формы отчетности по годам (P&amp;L, BS, CF с автоматическим расчетом потребности в кредитовании)  и рассчитать показатели эффективности (NPV /IRR) проекта в целом и персонально для акционера. 
Допущения: 
- начисление и выплата %% происходит в конце года  на сумму остатка задолженностии на конец года 
- пренебречь расчетом НДС, амортизации и налога на имущество
- считать, что прочие налоги начисляются и выплачиваются в одном периоде
- учесть влияние инфляции
- считать ставку дисконта для проекта в целом и для акционера одинаковой
- остальные неуказанные здесь допущения делаются экзаменуемым самостоятельно с обязательным описанием при направлении ответа  
РАСЧЕТ ПРОИЗВОДИТЬ НА ЭТОМ ЖЕ  ЛИСТЕ НИЖЕ ИСХОДНЫХ ДАННЫХ, не интегрировать в другие заранее подготовленные "считалки"</t>
        </is>
      </c>
    </row>
    <row r="3">
      <c r="M3" s="3" t="n"/>
    </row>
    <row r="4">
      <c r="D4" s="1" t="n">
        <v>1</v>
      </c>
      <c r="E4" s="1" t="n">
        <v>2</v>
      </c>
      <c r="F4" s="1" t="n">
        <v>3</v>
      </c>
      <c r="G4" s="1" t="n">
        <v>4</v>
      </c>
      <c r="H4" s="1" t="n">
        <v>5</v>
      </c>
      <c r="I4" s="1" t="n">
        <v>6</v>
      </c>
      <c r="J4" s="1" t="n">
        <v>7</v>
      </c>
      <c r="K4" s="1" t="n">
        <v>8</v>
      </c>
      <c r="L4" s="1" t="n">
        <v>9</v>
      </c>
      <c r="M4" s="3" t="n"/>
    </row>
    <row r="5">
      <c r="C5" s="2" t="inlineStr">
        <is>
          <t xml:space="preserve">ед. изм </t>
        </is>
      </c>
      <c r="D5" s="1" t="n">
        <v>2022</v>
      </c>
      <c r="E5" s="1" t="n">
        <v>2023</v>
      </c>
      <c r="F5" s="1" t="n">
        <v>2024</v>
      </c>
      <c r="G5" s="1" t="n">
        <v>2025</v>
      </c>
      <c r="H5" s="1" t="n">
        <v>2026</v>
      </c>
      <c r="I5" s="1" t="n">
        <v>2027</v>
      </c>
      <c r="J5" s="1" t="n">
        <v>2028</v>
      </c>
      <c r="K5" s="1" t="n">
        <v>2029</v>
      </c>
      <c r="L5" s="1" t="n">
        <v>2030</v>
      </c>
      <c r="M5" s="3" t="n"/>
    </row>
    <row r="6" customFormat="1" s="5">
      <c r="B6" s="5" t="inlineStr">
        <is>
          <t xml:space="preserve">Макропараметры </t>
        </is>
      </c>
      <c r="C6" s="6" t="n"/>
    </row>
    <row r="7">
      <c r="B7" s="1" t="inlineStr">
        <is>
          <t>темп инфляции (для всех видов расходов)</t>
        </is>
      </c>
      <c r="D7" s="7" t="n">
        <v>0.07000000000000001</v>
      </c>
      <c r="E7" s="7" t="n">
        <v>0.06</v>
      </c>
      <c r="F7" s="7" t="n">
        <v>0.06</v>
      </c>
      <c r="G7" s="7" t="n">
        <v>0.06</v>
      </c>
      <c r="H7" s="7" t="n">
        <v>0.05</v>
      </c>
      <c r="I7" s="7" t="n">
        <v>0.05</v>
      </c>
      <c r="J7" s="7" t="n">
        <v>0.05</v>
      </c>
      <c r="K7" s="7" t="n">
        <v>0.05</v>
      </c>
      <c r="L7" s="7" t="n">
        <v>0.05</v>
      </c>
    </row>
    <row r="8" customFormat="1" s="8">
      <c r="B8" s="8" t="inlineStr">
        <is>
          <t xml:space="preserve">   то же накопительно </t>
        </is>
      </c>
      <c r="C8" s="2" t="n"/>
      <c r="D8" s="9">
        <f>(1+D7)</f>
        <v/>
      </c>
      <c r="E8" s="9">
        <f>D8*(1+E7)</f>
        <v/>
      </c>
      <c r="F8" s="9">
        <f>E8*(1+F7)</f>
        <v/>
      </c>
      <c r="G8" s="9">
        <f>F8*(1+G7)</f>
        <v/>
      </c>
      <c r="H8" s="9">
        <f>G8*(1+H7)</f>
        <v/>
      </c>
      <c r="I8" s="9">
        <f>H8*(1+I7)</f>
        <v/>
      </c>
      <c r="J8" s="9">
        <f>I8*(1+J7)</f>
        <v/>
      </c>
      <c r="K8" s="9">
        <f>J8*(1+K7)</f>
        <v/>
      </c>
      <c r="L8" s="9">
        <f>K8*(1+L7)</f>
        <v/>
      </c>
    </row>
    <row r="9">
      <c r="B9" s="1" t="inlineStr">
        <is>
          <t>темп инфляции (для всех видов доходов)</t>
        </is>
      </c>
      <c r="D9" s="7" t="n">
        <v>0.02</v>
      </c>
      <c r="E9" s="7" t="n">
        <v>0.02</v>
      </c>
      <c r="F9" s="7" t="n">
        <v>0.02</v>
      </c>
      <c r="G9" s="7" t="n">
        <v>0.02</v>
      </c>
      <c r="H9" s="7" t="n">
        <v>0.02</v>
      </c>
      <c r="I9" s="7" t="n">
        <v>0.02</v>
      </c>
      <c r="J9" s="7" t="n">
        <v>0.02</v>
      </c>
      <c r="K9" s="7" t="n">
        <v>0.02</v>
      </c>
      <c r="L9" s="7" t="n">
        <v>0.02</v>
      </c>
    </row>
    <row r="10" customFormat="1" s="8">
      <c r="B10" s="8" t="inlineStr">
        <is>
          <t xml:space="preserve">   то же накопительно </t>
        </is>
      </c>
      <c r="C10" s="2" t="n"/>
      <c r="D10" s="9">
        <f>(1+D9)</f>
        <v/>
      </c>
      <c r="E10" s="9">
        <f>D10*(1+E9)</f>
        <v/>
      </c>
      <c r="F10" s="9">
        <f>E10*(1+F9)</f>
        <v/>
      </c>
      <c r="G10" s="9">
        <f>F10*(1+G9)</f>
        <v/>
      </c>
      <c r="H10" s="9">
        <f>G10*(1+H9)</f>
        <v/>
      </c>
      <c r="I10" s="9">
        <f>H10*(1+I9)</f>
        <v/>
      </c>
      <c r="J10" s="9">
        <f>I10*(1+J9)</f>
        <v/>
      </c>
      <c r="K10" s="9">
        <f>J10*(1+K9)</f>
        <v/>
      </c>
      <c r="L10" s="9">
        <f>K10*(1+L9)</f>
        <v/>
      </c>
    </row>
    <row r="11">
      <c r="B11" s="1" t="inlineStr">
        <is>
          <t>цена на металл (без инфляции и НДС)</t>
        </is>
      </c>
      <c r="C11" s="2" t="inlineStr">
        <is>
          <t>тыс. руб/кг</t>
        </is>
      </c>
      <c r="D11" s="10" t="n">
        <v>2000</v>
      </c>
      <c r="E11" s="10" t="n">
        <v>2000</v>
      </c>
      <c r="F11" s="10" t="n">
        <v>2000</v>
      </c>
      <c r="G11" s="10" t="n">
        <v>2000</v>
      </c>
      <c r="H11" s="10" t="n">
        <v>2000</v>
      </c>
      <c r="I11" s="10" t="n">
        <v>2000</v>
      </c>
      <c r="J11" s="10" t="n">
        <v>2000</v>
      </c>
      <c r="K11" s="10" t="n">
        <v>2000</v>
      </c>
      <c r="L11" s="10" t="n">
        <v>2000</v>
      </c>
    </row>
    <row r="12">
      <c r="B12" s="1" t="inlineStr">
        <is>
          <t>Ставка дисконта WACC</t>
        </is>
      </c>
      <c r="D12" s="7" t="n">
        <v>0.12</v>
      </c>
      <c r="E12" s="7" t="n">
        <v>0.12</v>
      </c>
      <c r="F12" s="7" t="n">
        <v>0.12</v>
      </c>
      <c r="G12" s="7" t="n">
        <v>0.12</v>
      </c>
      <c r="H12" s="7" t="n">
        <v>0.12</v>
      </c>
      <c r="I12" s="7" t="n">
        <v>0.12</v>
      </c>
      <c r="J12" s="7" t="n">
        <v>0.12</v>
      </c>
      <c r="K12" s="7" t="n">
        <v>0.12</v>
      </c>
      <c r="L12" s="7" t="n">
        <v>0.12</v>
      </c>
    </row>
    <row r="13">
      <c r="B13" s="1" t="inlineStr">
        <is>
          <t xml:space="preserve">НДПИ </t>
        </is>
      </c>
      <c r="D13" s="7" t="n">
        <v>0.08</v>
      </c>
      <c r="E13" s="7" t="n">
        <v>0.08</v>
      </c>
      <c r="F13" s="7" t="n">
        <v>0.08</v>
      </c>
      <c r="G13" s="7" t="n">
        <v>0.08</v>
      </c>
      <c r="H13" s="7" t="n">
        <v>0.08</v>
      </c>
      <c r="I13" s="7" t="n">
        <v>0.08</v>
      </c>
      <c r="J13" s="7" t="n">
        <v>0.08</v>
      </c>
      <c r="K13" s="7" t="n">
        <v>0.08</v>
      </c>
      <c r="L13" s="7" t="n">
        <v>0.08</v>
      </c>
    </row>
    <row r="14">
      <c r="B14" s="1" t="inlineStr">
        <is>
          <t xml:space="preserve">ставка по кредиту </t>
        </is>
      </c>
      <c r="D14" s="7" t="n">
        <v>0.1</v>
      </c>
      <c r="E14" s="7" t="n">
        <v>0.1</v>
      </c>
      <c r="F14" s="7" t="n">
        <v>0.1</v>
      </c>
      <c r="G14" s="7" t="n">
        <v>0.1</v>
      </c>
      <c r="H14" s="7" t="n">
        <v>0.1</v>
      </c>
      <c r="I14" s="7" t="n">
        <v>0.1</v>
      </c>
      <c r="J14" s="7" t="n">
        <v>0.1</v>
      </c>
      <c r="K14" s="7" t="n">
        <v>0.1</v>
      </c>
      <c r="L14" s="7" t="n">
        <v>0.1</v>
      </c>
    </row>
    <row r="15"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customFormat="1" s="13">
      <c r="B16" s="5" t="inlineStr">
        <is>
          <t xml:space="preserve">Производственные параметры </t>
        </is>
      </c>
      <c r="C16" s="11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B17" s="1" t="inlineStr">
        <is>
          <t xml:space="preserve">добыча руды </t>
        </is>
      </c>
      <c r="C17" s="2" t="inlineStr">
        <is>
          <t>тыс. тн/год</t>
        </is>
      </c>
      <c r="D17" s="14" t="n"/>
      <c r="E17" s="14" t="n"/>
      <c r="F17" s="14" t="n">
        <v>1500</v>
      </c>
      <c r="G17" s="14" t="n">
        <v>2100</v>
      </c>
      <c r="H17" s="14" t="n">
        <v>2150</v>
      </c>
      <c r="I17" s="14" t="n">
        <v>2000</v>
      </c>
      <c r="J17" s="14" t="n">
        <v>2000</v>
      </c>
      <c r="K17" s="14" t="n">
        <v>1800</v>
      </c>
      <c r="L17" s="14" t="n">
        <v>1700</v>
      </c>
    </row>
    <row r="18">
      <c r="B18" s="1" t="inlineStr">
        <is>
          <t>содержание Металла в руде</t>
        </is>
      </c>
      <c r="C18" s="2" t="inlineStr">
        <is>
          <t>г/тн</t>
        </is>
      </c>
      <c r="D18" s="14" t="n">
        <v>2</v>
      </c>
      <c r="E18" s="14" t="n">
        <v>2</v>
      </c>
      <c r="F18" s="14" t="n">
        <v>2</v>
      </c>
      <c r="G18" s="14" t="n">
        <v>2</v>
      </c>
      <c r="H18" s="14" t="n">
        <v>2</v>
      </c>
      <c r="I18" s="14" t="n">
        <v>2</v>
      </c>
      <c r="J18" s="14" t="n">
        <v>2</v>
      </c>
      <c r="K18" s="14" t="n">
        <v>2</v>
      </c>
      <c r="L18" s="14" t="n">
        <v>2</v>
      </c>
    </row>
    <row r="19">
      <c r="B19" s="1" t="inlineStr">
        <is>
          <t>Удельная себестоимость добычи руды (без инфляции и НДС)</t>
        </is>
      </c>
      <c r="C19" s="2" t="inlineStr">
        <is>
          <t>тыс руб/тн руды</t>
        </is>
      </c>
      <c r="D19" s="14" t="n">
        <v>1</v>
      </c>
      <c r="E19" s="14" t="n">
        <v>1</v>
      </c>
      <c r="F19" s="14" t="n">
        <v>1</v>
      </c>
      <c r="G19" s="14" t="n">
        <v>1</v>
      </c>
      <c r="H19" s="14" t="n">
        <v>1</v>
      </c>
      <c r="I19" s="14" t="n">
        <v>1</v>
      </c>
      <c r="J19" s="14" t="n">
        <v>1</v>
      </c>
      <c r="K19" s="14" t="n">
        <v>1</v>
      </c>
      <c r="L19" s="14" t="n">
        <v>1</v>
      </c>
    </row>
    <row r="20">
      <c r="B20" s="1" t="inlineStr">
        <is>
          <t>Удельная себестоимость переработки Ме (без инфляции и НДС)</t>
        </is>
      </c>
      <c r="C20" s="2" t="inlineStr">
        <is>
          <t>тыс руб/кг Мe</t>
        </is>
      </c>
      <c r="D20" s="14" t="n">
        <v>100</v>
      </c>
      <c r="E20" s="14" t="n">
        <v>100</v>
      </c>
      <c r="F20" s="14" t="n">
        <v>100</v>
      </c>
      <c r="G20" s="14" t="n">
        <v>100</v>
      </c>
      <c r="H20" s="14" t="n">
        <v>100</v>
      </c>
      <c r="I20" s="14" t="n">
        <v>100</v>
      </c>
      <c r="J20" s="14" t="n">
        <v>100</v>
      </c>
      <c r="K20" s="14" t="n">
        <v>100</v>
      </c>
      <c r="L20" s="14" t="n">
        <v>100</v>
      </c>
    </row>
    <row r="21">
      <c r="B21" s="1" t="inlineStr">
        <is>
          <t>Прочие постоянные расходы (без инфляции и НДС)</t>
        </is>
      </c>
      <c r="C21" s="2" t="inlineStr">
        <is>
          <t xml:space="preserve">тыс руб </t>
        </is>
      </c>
      <c r="D21" s="14" t="n">
        <v>0</v>
      </c>
      <c r="E21" s="14" t="n">
        <v>0</v>
      </c>
      <c r="F21" s="14" t="n">
        <v>50000</v>
      </c>
      <c r="G21" s="14" t="n">
        <v>50000</v>
      </c>
      <c r="H21" s="14" t="n">
        <v>50000</v>
      </c>
      <c r="I21" s="14" t="n">
        <v>50000</v>
      </c>
      <c r="J21" s="14" t="n">
        <v>50000</v>
      </c>
      <c r="K21" s="14" t="n">
        <v>50000</v>
      </c>
      <c r="L21" s="14" t="n">
        <v>50000</v>
      </c>
    </row>
    <row r="22">
      <c r="B22" s="1" t="inlineStr">
        <is>
          <t xml:space="preserve">Оборачиваемость дебиторской задолженности </t>
        </is>
      </c>
      <c r="C22" s="2" t="inlineStr">
        <is>
          <t>дней</t>
        </is>
      </c>
      <c r="D22" s="14" t="n">
        <v>60</v>
      </c>
      <c r="E22" s="14" t="n">
        <v>60</v>
      </c>
      <c r="F22" s="14" t="n">
        <v>60</v>
      </c>
      <c r="G22" s="14" t="n">
        <v>60</v>
      </c>
      <c r="H22" s="14" t="n">
        <v>60</v>
      </c>
      <c r="I22" s="14" t="n">
        <v>60</v>
      </c>
      <c r="J22" s="14" t="n">
        <v>60</v>
      </c>
      <c r="K22" s="14" t="n">
        <v>60</v>
      </c>
      <c r="L22" s="14" t="n">
        <v>60</v>
      </c>
    </row>
    <row r="23">
      <c r="B23" s="1" t="inlineStr">
        <is>
          <t>Оборачиваемость кредиторской задолженности</t>
        </is>
      </c>
      <c r="C23" s="2" t="inlineStr">
        <is>
          <t>дней</t>
        </is>
      </c>
      <c r="D23" s="14" t="n">
        <v>30</v>
      </c>
      <c r="E23" s="14" t="n">
        <v>30</v>
      </c>
      <c r="F23" s="14" t="n">
        <v>30</v>
      </c>
      <c r="G23" s="14" t="n">
        <v>30</v>
      </c>
      <c r="H23" s="14" t="n">
        <v>30</v>
      </c>
      <c r="I23" s="14" t="n">
        <v>30</v>
      </c>
      <c r="J23" s="14" t="n">
        <v>30</v>
      </c>
      <c r="K23" s="14" t="n">
        <v>30</v>
      </c>
      <c r="L23" s="14" t="n">
        <v>30</v>
      </c>
    </row>
    <row r="24"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</row>
    <row r="25" customFormat="1" s="5">
      <c r="B25" s="5" t="inlineStr">
        <is>
          <t xml:space="preserve">Капексы </t>
        </is>
      </c>
      <c r="C25" s="6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</row>
    <row r="26" customFormat="1" s="3">
      <c r="B26" s="3" t="inlineStr">
        <is>
          <t xml:space="preserve">финансирование поставки  (с учетом инфляции без НДС) </t>
        </is>
      </c>
      <c r="C26" s="4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</row>
    <row r="27">
      <c r="B27" s="1" t="inlineStr">
        <is>
          <t>лицензия</t>
        </is>
      </c>
      <c r="C27" s="2" t="inlineStr">
        <is>
          <t xml:space="preserve">тыс руб </t>
        </is>
      </c>
      <c r="D27" s="14" t="n">
        <v>1500000</v>
      </c>
      <c r="E27" s="14" t="n"/>
      <c r="F27" s="14" t="n"/>
      <c r="G27" s="14" t="n"/>
      <c r="H27" s="14" t="n"/>
      <c r="I27" s="14" t="n"/>
      <c r="J27" s="14" t="n"/>
      <c r="K27" s="14" t="n"/>
      <c r="L27" s="14" t="n"/>
    </row>
    <row r="28">
      <c r="B28" s="1" t="inlineStr">
        <is>
          <t xml:space="preserve">карьерное  оборудование </t>
        </is>
      </c>
      <c r="C28" s="2" t="inlineStr">
        <is>
          <t xml:space="preserve">тыс руб </t>
        </is>
      </c>
      <c r="D28" s="14" t="n">
        <v>3000000</v>
      </c>
      <c r="E28" s="14" t="n">
        <v>1500000</v>
      </c>
      <c r="F28" s="14" t="n"/>
      <c r="G28" s="14" t="n"/>
      <c r="H28" s="14" t="n"/>
      <c r="I28" s="14" t="n"/>
      <c r="J28" s="14" t="n"/>
      <c r="K28" s="14" t="n"/>
      <c r="L28" s="14" t="n"/>
    </row>
    <row r="29"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</row>
    <row r="30">
      <c r="B30" s="3" t="inlineStr">
        <is>
          <t>Освоение и ввод в эксплуатацию (с учетом инфляции без НДС )</t>
        </is>
      </c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</row>
    <row r="31">
      <c r="B31" s="1">
        <f>B27</f>
        <v/>
      </c>
      <c r="C31" s="2" t="inlineStr">
        <is>
          <t xml:space="preserve">тыс руб </t>
        </is>
      </c>
      <c r="D31" s="17">
        <f>D27</f>
        <v/>
      </c>
      <c r="F31" s="14" t="n"/>
      <c r="G31" s="14" t="n"/>
      <c r="H31" s="14" t="n"/>
      <c r="I31" s="14" t="n"/>
      <c r="J31" s="14" t="n"/>
      <c r="K31" s="14" t="n"/>
      <c r="L31" s="14" t="n"/>
    </row>
    <row r="32">
      <c r="B32" s="1">
        <f>B28</f>
        <v/>
      </c>
      <c r="C32" s="2" t="inlineStr">
        <is>
          <t xml:space="preserve">тыс руб </t>
        </is>
      </c>
      <c r="D32" s="14" t="n"/>
      <c r="E32" s="18">
        <f>(D28+E28)</f>
        <v/>
      </c>
      <c r="F32" s="14" t="n"/>
      <c r="G32" s="14" t="n"/>
      <c r="H32" s="14" t="n"/>
      <c r="I32" s="14" t="n"/>
      <c r="J32" s="14" t="n"/>
      <c r="K32" s="14" t="n"/>
      <c r="L32" s="14" t="n"/>
    </row>
    <row r="33"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4"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</row>
    <row r="35">
      <c r="B35" s="24" t="inlineStr">
        <is>
          <t>РАСЧЕТНАЯ ФИНАНСОВАЯ МОДЕЛЬ SPV (автоматически)</t>
        </is>
      </c>
      <c r="D35" s="25" t="n">
        <v>2022</v>
      </c>
      <c r="E35" s="25" t="n">
        <v>2023</v>
      </c>
      <c r="F35" s="25" t="n">
        <v>2024</v>
      </c>
      <c r="G35" s="25" t="n">
        <v>2025</v>
      </c>
      <c r="H35" s="25" t="n">
        <v>2026</v>
      </c>
      <c r="I35" s="25" t="n">
        <v>2027</v>
      </c>
      <c r="J35" s="25" t="n">
        <v>2028</v>
      </c>
      <c r="K35" s="25" t="n">
        <v>2029</v>
      </c>
      <c r="L35" s="25" t="n">
        <v>2030</v>
      </c>
    </row>
    <row r="36">
      <c r="B36" s="26" t="inlineStr">
        <is>
          <t>Код сценария (1 Bear / 2 Base / 3 Bull)</t>
        </is>
      </c>
      <c r="C36" t="n">
        <v>2</v>
      </c>
      <c r="F36" s="14" t="n"/>
    </row>
    <row r="37">
      <c r="B37" s="26" t="inlineStr">
        <is>
          <t>Код стратегии дивидендов (1 Conservative / 2 Base / 3 Aggressive)</t>
        </is>
      </c>
      <c r="C37" t="n">
        <v>2</v>
      </c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</row>
    <row r="38">
      <c r="B38" s="26" t="inlineStr">
        <is>
          <t>Множитель цены (сценарий)</t>
        </is>
      </c>
      <c r="C38">
        <f>CHOOSE($C$36,0.8,1,1.15)</f>
        <v/>
      </c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N38" s="14" t="n"/>
    </row>
    <row r="39">
      <c r="B39" s="26" t="inlineStr">
        <is>
          <t>Множитель добычи (сценарий)</t>
        </is>
      </c>
      <c r="C39">
        <f>CHOOSE($C$36,0.9,1,1.05)</f>
        <v/>
      </c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</row>
    <row r="40" customFormat="1" s="19">
      <c r="B40" s="26" t="inlineStr">
        <is>
          <t>Добавка к инфляции затрат, п.п.</t>
        </is>
      </c>
      <c r="C40" s="4">
        <f>CHOOSE($C$36,0.03,0,-0.02)</f>
        <v/>
      </c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</row>
    <row r="41">
      <c r="B41" s="26" t="inlineStr">
        <is>
          <t>Доля выплаты дивидендов после погашения долга</t>
        </is>
      </c>
      <c r="C41">
        <f>CHOOSE($C$37,0.5,0.8,1)</f>
        <v/>
      </c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</row>
    <row r="42">
      <c r="B42" s="26" t="inlineStr">
        <is>
          <t>Минимальный денежный резерв, тыс руб</t>
        </is>
      </c>
      <c r="C42">
        <f>CHOOSE($C$37,100000,0,0)</f>
        <v/>
      </c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</row>
    <row r="43">
      <c r="B43" s="3" t="inlineStr">
        <is>
          <t>Накопительная инфляция затрат с учетом сценария</t>
        </is>
      </c>
      <c r="C43" s="21" t="inlineStr">
        <is>
          <t>индекс</t>
        </is>
      </c>
      <c r="D43" s="32">
        <f>(1+D7+$C$40)</f>
        <v/>
      </c>
      <c r="E43" s="32">
        <f>D43*(1+E7+$C$40)</f>
        <v/>
      </c>
      <c r="F43" s="32">
        <f>E43*(1+F7+$C$40)</f>
        <v/>
      </c>
      <c r="G43" s="32">
        <f>F43*(1+G7+$C$40)</f>
        <v/>
      </c>
      <c r="H43" s="32">
        <f>G43*(1+H7+$C$40)</f>
        <v/>
      </c>
      <c r="I43" s="32">
        <f>H43*(1+I7+$C$40)</f>
        <v/>
      </c>
      <c r="J43" s="32">
        <f>I43*(1+J7+$C$40)</f>
        <v/>
      </c>
      <c r="K43" s="32">
        <f>J43*(1+K7+$C$40)</f>
        <v/>
      </c>
      <c r="L43" s="32">
        <f>K43*(1+L7+$C$40)</f>
        <v/>
      </c>
    </row>
    <row r="44">
      <c r="B44" s="27" t="inlineStr">
        <is>
          <t>ОПЕРАЦИОННЫЙ БЛОК</t>
        </is>
      </c>
      <c r="C44" s="22" t="n"/>
    </row>
    <row r="45">
      <c r="B45" t="inlineStr">
        <is>
          <t>Объем металла, кг</t>
        </is>
      </c>
      <c r="C45" t="inlineStr">
        <is>
          <t>кг/год</t>
        </is>
      </c>
      <c r="D45" s="28">
        <f>D17*D18*$C$39</f>
        <v/>
      </c>
      <c r="E45" s="28">
        <f>E17*E18*$C$39</f>
        <v/>
      </c>
      <c r="F45" s="28">
        <f>F17*F18*$C$39</f>
        <v/>
      </c>
      <c r="G45" s="28">
        <f>G17*G18*$C$39</f>
        <v/>
      </c>
      <c r="H45" s="28">
        <f>H17*H18*$C$39</f>
        <v/>
      </c>
      <c r="I45" s="28">
        <f>I17*I18*$C$39</f>
        <v/>
      </c>
      <c r="J45" s="28">
        <f>J17*J18*$C$39</f>
        <v/>
      </c>
      <c r="K45" s="28">
        <f>K17*K18*$C$39</f>
        <v/>
      </c>
      <c r="L45" s="28">
        <f>L17*L18*$C$39</f>
        <v/>
      </c>
    </row>
    <row r="46">
      <c r="B46" t="inlineStr">
        <is>
          <t>Цена металла с инфляцией, тыс руб/кг</t>
        </is>
      </c>
      <c r="C46" t="inlineStr">
        <is>
          <t>тыс руб/кг</t>
        </is>
      </c>
      <c r="D46" s="29">
        <f>D11*D10*$C$38</f>
        <v/>
      </c>
      <c r="E46" s="29">
        <f>E11*E10*$C$38</f>
        <v/>
      </c>
      <c r="F46" s="29">
        <f>F11*F10*$C$38</f>
        <v/>
      </c>
      <c r="G46" s="29">
        <f>G11*G10*$C$38</f>
        <v/>
      </c>
      <c r="H46" s="29">
        <f>H11*H10*$C$38</f>
        <v/>
      </c>
      <c r="I46" s="29">
        <f>I11*I10*$C$38</f>
        <v/>
      </c>
      <c r="J46" s="29">
        <f>J11*J10*$C$38</f>
        <v/>
      </c>
      <c r="K46" s="29">
        <f>K11*K10*$C$38</f>
        <v/>
      </c>
      <c r="L46" s="29">
        <f>L11*L10*$C$38</f>
        <v/>
      </c>
    </row>
    <row r="47">
      <c r="B47" t="inlineStr">
        <is>
          <t>Выручка</t>
        </is>
      </c>
      <c r="C47" t="inlineStr">
        <is>
          <t>тыс руб</t>
        </is>
      </c>
      <c r="D47" s="14">
        <f>D45*D46</f>
        <v/>
      </c>
      <c r="E47" s="14">
        <f>E45*E46</f>
        <v/>
      </c>
      <c r="F47" s="14">
        <f>F45*F46</f>
        <v/>
      </c>
      <c r="G47" s="14">
        <f>G45*G46</f>
        <v/>
      </c>
      <c r="H47" s="14">
        <f>H45*H46</f>
        <v/>
      </c>
      <c r="I47" s="14">
        <f>I45*I46</f>
        <v/>
      </c>
      <c r="J47" s="14">
        <f>J45*J46</f>
        <v/>
      </c>
      <c r="K47" s="14">
        <f>K45*K46</f>
        <v/>
      </c>
      <c r="L47" s="14">
        <f>L45*L46</f>
        <v/>
      </c>
    </row>
    <row r="48">
      <c r="B48" t="inlineStr">
        <is>
          <t>Уд. себестоимость добычи с инфляцией</t>
        </is>
      </c>
      <c r="C48" t="inlineStr">
        <is>
          <t>тыс руб/тн</t>
        </is>
      </c>
      <c r="D48" s="30">
        <f>D19*D43</f>
        <v/>
      </c>
      <c r="E48" s="30">
        <f>E19*E43</f>
        <v/>
      </c>
      <c r="F48" s="30">
        <f>F19*F43</f>
        <v/>
      </c>
      <c r="G48" s="30">
        <f>G19*G43</f>
        <v/>
      </c>
      <c r="H48" s="30">
        <f>H19*H43</f>
        <v/>
      </c>
      <c r="I48" s="30">
        <f>I19*I43</f>
        <v/>
      </c>
      <c r="J48" s="30">
        <f>J19*J43</f>
        <v/>
      </c>
      <c r="K48" s="30">
        <f>K19*K43</f>
        <v/>
      </c>
      <c r="L48" s="30">
        <f>L19*L43</f>
        <v/>
      </c>
    </row>
    <row r="49">
      <c r="B49" t="inlineStr">
        <is>
          <t>Себестоимость добычи</t>
        </is>
      </c>
      <c r="C49" t="inlineStr">
        <is>
          <t>тыс руб</t>
        </is>
      </c>
      <c r="D49" s="14">
        <f>D17*1000*D48*$C$39</f>
        <v/>
      </c>
      <c r="E49" s="14">
        <f>E17*1000*E48*$C$39</f>
        <v/>
      </c>
      <c r="F49" s="14">
        <f>F17*1000*F48*$C$39</f>
        <v/>
      </c>
      <c r="G49" s="14">
        <f>G17*1000*G48*$C$39</f>
        <v/>
      </c>
      <c r="H49" s="14">
        <f>H17*1000*H48*$C$39</f>
        <v/>
      </c>
      <c r="I49" s="14">
        <f>I17*1000*I48*$C$39</f>
        <v/>
      </c>
      <c r="J49" s="14">
        <f>J17*1000*J48*$C$39</f>
        <v/>
      </c>
      <c r="K49" s="14">
        <f>K17*1000*K48*$C$39</f>
        <v/>
      </c>
      <c r="L49" s="14">
        <f>L17*1000*L48*$C$39</f>
        <v/>
      </c>
    </row>
    <row r="50">
      <c r="B50" t="inlineStr">
        <is>
          <t>Уд. себестоимость переработки с инфляцией</t>
        </is>
      </c>
      <c r="C50" t="inlineStr">
        <is>
          <t>тыс руб/кг</t>
        </is>
      </c>
      <c r="D50" s="30">
        <f>D20*D43</f>
        <v/>
      </c>
      <c r="E50" s="30">
        <f>E20*E43</f>
        <v/>
      </c>
      <c r="F50" s="30">
        <f>F20*F43</f>
        <v/>
      </c>
      <c r="G50" s="30">
        <f>G20*G43</f>
        <v/>
      </c>
      <c r="H50" s="30">
        <f>H20*H43</f>
        <v/>
      </c>
      <c r="I50" s="30">
        <f>I20*I43</f>
        <v/>
      </c>
      <c r="J50" s="30">
        <f>J20*J43</f>
        <v/>
      </c>
      <c r="K50" s="30">
        <f>K20*K43</f>
        <v/>
      </c>
      <c r="L50" s="30">
        <f>L20*L43</f>
        <v/>
      </c>
    </row>
    <row r="51">
      <c r="B51" s="3" t="inlineStr">
        <is>
          <t>Себестоимость переработки</t>
        </is>
      </c>
      <c r="C51" s="21" t="inlineStr">
        <is>
          <t>тыс руб</t>
        </is>
      </c>
      <c r="D51" s="28">
        <f>D45*D50</f>
        <v/>
      </c>
      <c r="E51" s="28">
        <f>E45*E50</f>
        <v/>
      </c>
      <c r="F51" s="28">
        <f>F45*F50</f>
        <v/>
      </c>
      <c r="G51" s="28">
        <f>G45*G50</f>
        <v/>
      </c>
      <c r="H51" s="28">
        <f>H45*H50</f>
        <v/>
      </c>
      <c r="I51" s="28">
        <f>I45*I50</f>
        <v/>
      </c>
      <c r="J51" s="28">
        <f>J45*J50</f>
        <v/>
      </c>
      <c r="K51" s="28">
        <f>K45*K50</f>
        <v/>
      </c>
      <c r="L51" s="28">
        <f>L45*L50</f>
        <v/>
      </c>
    </row>
    <row r="52">
      <c r="B52" s="3" t="inlineStr">
        <is>
          <t>Постоянные расходы</t>
        </is>
      </c>
      <c r="C52" s="22" t="inlineStr">
        <is>
          <t>тыс руб</t>
        </is>
      </c>
      <c r="D52" s="28">
        <f>D21*D43</f>
        <v/>
      </c>
      <c r="E52" s="28">
        <f>E21*E43</f>
        <v/>
      </c>
      <c r="F52" s="28">
        <f>F21*F43</f>
        <v/>
      </c>
      <c r="G52" s="28">
        <f>G21*G43</f>
        <v/>
      </c>
      <c r="H52" s="28">
        <f>H21*H43</f>
        <v/>
      </c>
      <c r="I52" s="28">
        <f>I21*I43</f>
        <v/>
      </c>
      <c r="J52" s="28">
        <f>J21*J43</f>
        <v/>
      </c>
      <c r="K52" s="28">
        <f>K21*K43</f>
        <v/>
      </c>
      <c r="L52" s="28">
        <f>L21*L43</f>
        <v/>
      </c>
    </row>
    <row r="53">
      <c r="B53" t="inlineStr">
        <is>
          <t>Итого OPEX</t>
        </is>
      </c>
      <c r="C53" t="inlineStr">
        <is>
          <t>тыс руб</t>
        </is>
      </c>
      <c r="D53" s="28">
        <f>D49+D51+D52</f>
        <v/>
      </c>
      <c r="E53" s="28">
        <f>E49+E51+E52</f>
        <v/>
      </c>
      <c r="F53" s="28">
        <f>F49+F51+F52</f>
        <v/>
      </c>
      <c r="G53" s="28">
        <f>G49+G51+G52</f>
        <v/>
      </c>
      <c r="H53" s="28">
        <f>H49+H51+H52</f>
        <v/>
      </c>
      <c r="I53" s="28">
        <f>I49+I51+I52</f>
        <v/>
      </c>
      <c r="J53" s="28">
        <f>J49+J51+J52</f>
        <v/>
      </c>
      <c r="K53" s="28">
        <f>K49+K51+K52</f>
        <v/>
      </c>
      <c r="L53" s="28">
        <f>L49+L51+L52</f>
        <v/>
      </c>
    </row>
    <row r="54">
      <c r="B54" t="inlineStr">
        <is>
          <t>НДПИ</t>
        </is>
      </c>
      <c r="C54" t="inlineStr">
        <is>
          <t>тыс руб</t>
        </is>
      </c>
      <c r="D54" s="28">
        <f>D47*D13</f>
        <v/>
      </c>
      <c r="E54" s="28">
        <f>E47*E13</f>
        <v/>
      </c>
      <c r="F54" s="28">
        <f>F47*F13</f>
        <v/>
      </c>
      <c r="G54" s="28">
        <f>G47*G13</f>
        <v/>
      </c>
      <c r="H54" s="28">
        <f>H47*H13</f>
        <v/>
      </c>
      <c r="I54" s="28">
        <f>I47*I13</f>
        <v/>
      </c>
      <c r="J54" s="28">
        <f>J47*J13</f>
        <v/>
      </c>
      <c r="K54" s="28">
        <f>K47*K13</f>
        <v/>
      </c>
      <c r="L54" s="28">
        <f>L47*L13</f>
        <v/>
      </c>
    </row>
    <row r="55">
      <c r="B55" t="inlineStr">
        <is>
          <t>EBIT</t>
        </is>
      </c>
      <c r="C55" t="inlineStr">
        <is>
          <t>тыс руб</t>
        </is>
      </c>
      <c r="D55" s="28">
        <f>D47-D53-D54</f>
        <v/>
      </c>
      <c r="E55" s="28">
        <f>E47-E53-E54</f>
        <v/>
      </c>
      <c r="F55" s="28">
        <f>F47-F53-F54</f>
        <v/>
      </c>
      <c r="G55" s="28">
        <f>G47-G53-G54</f>
        <v/>
      </c>
      <c r="H55" s="28">
        <f>H47-H53-H54</f>
        <v/>
      </c>
      <c r="I55" s="28">
        <f>I47-I53-I54</f>
        <v/>
      </c>
      <c r="J55" s="28">
        <f>J47-J53-J54</f>
        <v/>
      </c>
      <c r="K55" s="28">
        <f>K47-K53-K54</f>
        <v/>
      </c>
      <c r="L55" s="28">
        <f>L47-L53-L54</f>
        <v/>
      </c>
    </row>
    <row r="57">
      <c r="B57" t="inlineStr">
        <is>
          <t>Дебиторская задолженность (AR)</t>
        </is>
      </c>
      <c r="C57" t="inlineStr">
        <is>
          <t>тыс руб</t>
        </is>
      </c>
      <c r="D57" s="28">
        <f>D47*D22/365</f>
        <v/>
      </c>
      <c r="E57" s="28">
        <f>E47*E22/365</f>
        <v/>
      </c>
      <c r="F57" s="28">
        <f>F47*F22/365</f>
        <v/>
      </c>
      <c r="G57" s="28">
        <f>G47*G22/365</f>
        <v/>
      </c>
      <c r="H57" s="28">
        <f>H47*H22/365</f>
        <v/>
      </c>
      <c r="I57" s="28">
        <f>I47*I22/365</f>
        <v/>
      </c>
      <c r="J57" s="28">
        <f>J47*J22/365</f>
        <v/>
      </c>
      <c r="K57" s="28">
        <f>K47*K22/365</f>
        <v/>
      </c>
      <c r="L57" s="28">
        <f>L47*L22/365</f>
        <v/>
      </c>
    </row>
    <row r="58">
      <c r="B58" t="inlineStr">
        <is>
          <t>Кредиторская задолженность (AP)</t>
        </is>
      </c>
      <c r="C58" t="inlineStr">
        <is>
          <t>тыс руб</t>
        </is>
      </c>
      <c r="D58" s="28">
        <f>D53*D23/365</f>
        <v/>
      </c>
      <c r="E58" s="28">
        <f>E53*E23/365</f>
        <v/>
      </c>
      <c r="F58" s="28">
        <f>F53*F23/365</f>
        <v/>
      </c>
      <c r="G58" s="28">
        <f>G53*G23/365</f>
        <v/>
      </c>
      <c r="H58" s="28">
        <f>H53*H23/365</f>
        <v/>
      </c>
      <c r="I58" s="28">
        <f>I53*I23/365</f>
        <v/>
      </c>
      <c r="J58" s="28">
        <f>J53*J23/365</f>
        <v/>
      </c>
      <c r="K58" s="28">
        <f>K53*K23/365</f>
        <v/>
      </c>
      <c r="L58" s="28">
        <f>L53*L23/365</f>
        <v/>
      </c>
    </row>
    <row r="59">
      <c r="B59" t="inlineStr">
        <is>
          <t>Изменение AR</t>
        </is>
      </c>
      <c r="C59" t="inlineStr">
        <is>
          <t>тыс руб</t>
        </is>
      </c>
      <c r="D59" s="28">
        <f>D57-N(C57)</f>
        <v/>
      </c>
      <c r="E59" s="28">
        <f>E57-N(D57)</f>
        <v/>
      </c>
      <c r="F59" s="28">
        <f>F57-N(E57)</f>
        <v/>
      </c>
      <c r="G59" s="28">
        <f>G57-N(F57)</f>
        <v/>
      </c>
      <c r="H59" s="28">
        <f>H57-N(G57)</f>
        <v/>
      </c>
      <c r="I59" s="28">
        <f>I57-N(H57)</f>
        <v/>
      </c>
      <c r="J59" s="28">
        <f>J57-N(I57)</f>
        <v/>
      </c>
      <c r="K59" s="28">
        <f>K57-N(J57)</f>
        <v/>
      </c>
      <c r="L59" s="28">
        <f>L57-N(K57)</f>
        <v/>
      </c>
    </row>
    <row r="60">
      <c r="B60" t="inlineStr">
        <is>
          <t>Изменение AP</t>
        </is>
      </c>
      <c r="C60" t="inlineStr">
        <is>
          <t>тыс руб</t>
        </is>
      </c>
      <c r="D60" s="28">
        <f>D58-N(C58)</f>
        <v/>
      </c>
      <c r="E60" s="28">
        <f>E58-N(D58)</f>
        <v/>
      </c>
      <c r="F60" s="28">
        <f>F58-N(E58)</f>
        <v/>
      </c>
      <c r="G60" s="28">
        <f>G58-N(F58)</f>
        <v/>
      </c>
      <c r="H60" s="28">
        <f>H58-N(G58)</f>
        <v/>
      </c>
      <c r="I60" s="28">
        <f>I58-N(H58)</f>
        <v/>
      </c>
      <c r="J60" s="28">
        <f>J58-N(I58)</f>
        <v/>
      </c>
      <c r="K60" s="28">
        <f>K58-N(J58)</f>
        <v/>
      </c>
      <c r="L60" s="28">
        <f>L58-N(K58)</f>
        <v/>
      </c>
    </row>
    <row r="61">
      <c r="B61" t="inlineStr">
        <is>
          <t>CFO до процентов</t>
        </is>
      </c>
      <c r="C61" t="inlineStr">
        <is>
          <t>тыс руб</t>
        </is>
      </c>
      <c r="D61" s="28">
        <f>D55-D59+D60</f>
        <v/>
      </c>
      <c r="E61" s="28">
        <f>E55-E59+E60</f>
        <v/>
      </c>
      <c r="F61" s="28">
        <f>F55-F59+F60</f>
        <v/>
      </c>
      <c r="G61" s="28">
        <f>G55-G59+G60</f>
        <v/>
      </c>
      <c r="H61" s="28">
        <f>H55-H59+H60</f>
        <v/>
      </c>
      <c r="I61" s="28">
        <f>I55-I59+I60</f>
        <v/>
      </c>
      <c r="J61" s="28">
        <f>J55-J59+J60</f>
        <v/>
      </c>
      <c r="K61" s="28">
        <f>K55-K59+K60</f>
        <v/>
      </c>
      <c r="L61" s="28">
        <f>L55-L59+L60</f>
        <v/>
      </c>
    </row>
    <row r="63">
      <c r="B63" t="inlineStr">
        <is>
          <t>CAPEX (денежный отток)</t>
        </is>
      </c>
      <c r="C63" t="inlineStr">
        <is>
          <t>тыс руб</t>
        </is>
      </c>
      <c r="D63" s="28">
        <f>D27+D28</f>
        <v/>
      </c>
      <c r="E63" s="28">
        <f>E27+E28</f>
        <v/>
      </c>
      <c r="F63" s="28">
        <f>F27+F28</f>
        <v/>
      </c>
      <c r="G63" s="28">
        <f>G27+G28</f>
        <v/>
      </c>
      <c r="H63" s="28">
        <f>H27+H28</f>
        <v/>
      </c>
      <c r="I63" s="28">
        <f>I27+I28</f>
        <v/>
      </c>
      <c r="J63" s="28">
        <f>J27+J28</f>
        <v/>
      </c>
      <c r="K63" s="28">
        <f>K27+K28</f>
        <v/>
      </c>
      <c r="L63" s="28">
        <f>L27+L28</f>
        <v/>
      </c>
    </row>
    <row r="64">
      <c r="B64" t="inlineStr">
        <is>
          <t>Ввод ОС</t>
        </is>
      </c>
      <c r="C64" t="inlineStr">
        <is>
          <t>тыс руб</t>
        </is>
      </c>
      <c r="D64" s="28">
        <f>D31+D32</f>
        <v/>
      </c>
      <c r="E64" s="28">
        <f>E31+E32</f>
        <v/>
      </c>
      <c r="F64" s="28">
        <f>F31+F32</f>
        <v/>
      </c>
      <c r="G64" s="28">
        <f>G31+G32</f>
        <v/>
      </c>
      <c r="H64" s="28">
        <f>H31+H32</f>
        <v/>
      </c>
      <c r="I64" s="28">
        <f>I31+I32</f>
        <v/>
      </c>
      <c r="J64" s="28">
        <f>J31+J32</f>
        <v/>
      </c>
      <c r="K64" s="28">
        <f>K31+K32</f>
        <v/>
      </c>
      <c r="L64" s="28">
        <f>L31+L32</f>
        <v/>
      </c>
    </row>
    <row r="65">
      <c r="B65" t="inlineStr">
        <is>
          <t>ОС на конец (введенные активы, без амортизации)</t>
        </is>
      </c>
      <c r="C65" t="inlineStr">
        <is>
          <t>тыс руб</t>
        </is>
      </c>
      <c r="D65" s="28">
        <f>D64+N(C65)</f>
        <v/>
      </c>
      <c r="E65" s="28">
        <f>E64+N(D65)</f>
        <v/>
      </c>
      <c r="F65" s="28">
        <f>F64+N(E65)</f>
        <v/>
      </c>
      <c r="G65" s="28">
        <f>G64+N(F65)</f>
        <v/>
      </c>
      <c r="H65" s="28">
        <f>H64+N(G65)</f>
        <v/>
      </c>
      <c r="I65" s="28">
        <f>I64+N(H65)</f>
        <v/>
      </c>
      <c r="J65" s="28">
        <f>J64+N(I65)</f>
        <v/>
      </c>
      <c r="K65" s="28">
        <f>K64+N(J65)</f>
        <v/>
      </c>
      <c r="L65" s="28">
        <f>L64+N(K65)</f>
        <v/>
      </c>
    </row>
    <row r="66">
      <c r="B66" t="inlineStr">
        <is>
          <t>Незавершенные капвложения / авансы (CIP)</t>
        </is>
      </c>
      <c r="C66" t="inlineStr">
        <is>
          <t>тыс руб</t>
        </is>
      </c>
      <c r="D66" s="28">
        <f>N(C66)+D63-D64</f>
        <v/>
      </c>
      <c r="E66" s="28">
        <f>N(D66)+E63-E64</f>
        <v/>
      </c>
      <c r="F66" s="28">
        <f>N(E66)+F63-F64</f>
        <v/>
      </c>
      <c r="G66" s="28">
        <f>N(F66)+G63-G64</f>
        <v/>
      </c>
      <c r="H66" s="28">
        <f>N(G66)+H63-H64</f>
        <v/>
      </c>
      <c r="I66" s="28">
        <f>N(H66)+I63-I64</f>
        <v/>
      </c>
      <c r="J66" s="28">
        <f>N(I66)+J63-J64</f>
        <v/>
      </c>
      <c r="K66" s="28">
        <f>N(J66)+K63-K64</f>
        <v/>
      </c>
      <c r="L66" s="28">
        <f>N(K66)+L63-L64</f>
        <v/>
      </c>
    </row>
    <row r="67">
      <c r="B67" t="inlineStr">
        <is>
          <t>Взнос акционера в УК</t>
        </is>
      </c>
      <c r="C67" t="inlineStr">
        <is>
          <t>тыс руб</t>
        </is>
      </c>
      <c r="D67" s="28">
        <f>IF(D5=2022,1000000,0)</f>
        <v/>
      </c>
      <c r="E67" s="28">
        <f>IF(E5=2022,1000000,0)</f>
        <v/>
      </c>
      <c r="F67" s="28">
        <f>IF(F5=2022,1000000,0)</f>
        <v/>
      </c>
      <c r="G67" s="28">
        <f>IF(G5=2022,1000000,0)</f>
        <v/>
      </c>
      <c r="H67" s="28">
        <f>IF(H5=2022,1000000,0)</f>
        <v/>
      </c>
      <c r="I67" s="28">
        <f>IF(I5=2022,1000000,0)</f>
        <v/>
      </c>
      <c r="J67" s="28">
        <f>IF(J5=2022,1000000,0)</f>
        <v/>
      </c>
      <c r="K67" s="28">
        <f>IF(K5=2022,1000000,0)</f>
        <v/>
      </c>
      <c r="L67" s="28">
        <f>IF(L5=2022,1000000,0)</f>
        <v/>
      </c>
    </row>
    <row r="68">
      <c r="B68" t="inlineStr">
        <is>
          <t>Денежные средства на начало</t>
        </is>
      </c>
      <c r="C68" t="inlineStr">
        <is>
          <t>тыс руб</t>
        </is>
      </c>
      <c r="D68" s="28">
        <f>IF(D5=2022,0,C77)</f>
        <v/>
      </c>
      <c r="E68" s="28">
        <f>IF(E5=2022,0,D77)</f>
        <v/>
      </c>
      <c r="F68" s="28">
        <f>IF(F5=2022,0,E77)</f>
        <v/>
      </c>
      <c r="G68" s="28">
        <f>IF(G5=2022,0,F77)</f>
        <v/>
      </c>
      <c r="H68" s="28">
        <f>IF(H5=2022,0,G77)</f>
        <v/>
      </c>
      <c r="I68" s="28">
        <f>IF(I5=2022,0,H77)</f>
        <v/>
      </c>
      <c r="J68" s="28">
        <f>IF(J5=2022,0,I77)</f>
        <v/>
      </c>
      <c r="K68" s="28">
        <f>IF(K5=2022,0,J77)</f>
        <v/>
      </c>
      <c r="L68" s="28">
        <f>IF(L5=2022,0,K77)</f>
        <v/>
      </c>
    </row>
    <row r="69">
      <c r="B69" t="inlineStr">
        <is>
          <t>Долг на начало</t>
        </is>
      </c>
      <c r="C69" t="inlineStr">
        <is>
          <t>тыс руб</t>
        </is>
      </c>
      <c r="D69" s="28">
        <f>IF(D5=2022,0,C71)</f>
        <v/>
      </c>
      <c r="E69" s="28">
        <f>IF(E5=2022,0,D71)</f>
        <v/>
      </c>
      <c r="F69" s="28">
        <f>IF(F5=2022,0,E71)</f>
        <v/>
      </c>
      <c r="G69" s="28">
        <f>IF(G5=2022,0,F71)</f>
        <v/>
      </c>
      <c r="H69" s="28">
        <f>IF(H5=2022,0,G71)</f>
        <v/>
      </c>
      <c r="I69" s="28">
        <f>IF(I5=2022,0,H71)</f>
        <v/>
      </c>
      <c r="J69" s="28">
        <f>IF(J5=2022,0,I71)</f>
        <v/>
      </c>
      <c r="K69" s="28">
        <f>IF(K5=2022,0,J71)</f>
        <v/>
      </c>
      <c r="L69" s="28">
        <f>IF(L5=2022,0,K71)</f>
        <v/>
      </c>
    </row>
    <row r="70">
      <c r="B70" t="inlineStr">
        <is>
          <t>Денежный поток до обслуживания долга</t>
        </is>
      </c>
      <c r="C70" t="inlineStr">
        <is>
          <t>тыс руб</t>
        </is>
      </c>
      <c r="D70" s="28">
        <f>D68+D61-D63+D67</f>
        <v/>
      </c>
      <c r="E70" s="28">
        <f>E68+E61-E63+E67</f>
        <v/>
      </c>
      <c r="F70" s="28">
        <f>F68+F61-F63+F67</f>
        <v/>
      </c>
      <c r="G70" s="28">
        <f>G68+G61-G63+G67</f>
        <v/>
      </c>
      <c r="H70" s="28">
        <f>H68+H61-H63+H67</f>
        <v/>
      </c>
      <c r="I70" s="28">
        <f>I68+I61-I63+I67</f>
        <v/>
      </c>
      <c r="J70" s="28">
        <f>J68+J61-J63+J67</f>
        <v/>
      </c>
      <c r="K70" s="28">
        <f>K68+K61-K63+K67</f>
        <v/>
      </c>
      <c r="L70" s="28">
        <f>L68+L61-L63+L67</f>
        <v/>
      </c>
    </row>
    <row r="71">
      <c r="B71" t="inlineStr">
        <is>
          <t>Долг на конец (авто)</t>
        </is>
      </c>
      <c r="C71" t="inlineStr">
        <is>
          <t>тыс руб</t>
        </is>
      </c>
      <c r="D71" s="28">
        <f>IF(D70&gt;=D69,0,(D69-D70)/(1-D14))</f>
        <v/>
      </c>
      <c r="E71" s="28">
        <f>IF(E70&gt;=E69,0,(E69-E70)/(1-E14))</f>
        <v/>
      </c>
      <c r="F71" s="28">
        <f>IF(F70&gt;=F69,0,(F69-F70)/(1-F14))</f>
        <v/>
      </c>
      <c r="G71" s="28">
        <f>IF(G70&gt;=G69,0,(G69-G70)/(1-G14))</f>
        <v/>
      </c>
      <c r="H71" s="28">
        <f>IF(H70&gt;=H69,0,(H69-H70)/(1-H14))</f>
        <v/>
      </c>
      <c r="I71" s="28">
        <f>IF(I70&gt;=I69,0,(I69-I70)/(1-I14))</f>
        <v/>
      </c>
      <c r="J71" s="28">
        <f>IF(J70&gt;=J69,0,(J69-J70)/(1-J14))</f>
        <v/>
      </c>
      <c r="K71" s="28">
        <f>IF(K70&gt;=K69,0,(K69-K70)/(1-K14))</f>
        <v/>
      </c>
      <c r="L71" s="28">
        <f>IF(L70&gt;=L69,0,(L69-L70)/(1-L14))</f>
        <v/>
      </c>
    </row>
    <row r="72">
      <c r="B72" t="inlineStr">
        <is>
          <t>Проценты к уплате</t>
        </is>
      </c>
      <c r="C72" t="inlineStr">
        <is>
          <t>тыс руб</t>
        </is>
      </c>
      <c r="D72" s="28">
        <f>D71*D14</f>
        <v/>
      </c>
      <c r="E72" s="28">
        <f>E71*E14</f>
        <v/>
      </c>
      <c r="F72" s="28">
        <f>F71*F14</f>
        <v/>
      </c>
      <c r="G72" s="28">
        <f>G71*G14</f>
        <v/>
      </c>
      <c r="H72" s="28">
        <f>H71*H14</f>
        <v/>
      </c>
      <c r="I72" s="28">
        <f>I71*I14</f>
        <v/>
      </c>
      <c r="J72" s="28">
        <f>J71*J14</f>
        <v/>
      </c>
      <c r="K72" s="28">
        <f>K71*K14</f>
        <v/>
      </c>
      <c r="L72" s="28">
        <f>L71*L14</f>
        <v/>
      </c>
    </row>
    <row r="73">
      <c r="B73" t="inlineStr">
        <is>
          <t>Привлечение долга</t>
        </is>
      </c>
      <c r="C73" t="inlineStr">
        <is>
          <t>тыс руб</t>
        </is>
      </c>
      <c r="D73" s="28">
        <f>MAX(0,D71-D69)</f>
        <v/>
      </c>
      <c r="E73" s="28">
        <f>MAX(0,E71-E69)</f>
        <v/>
      </c>
      <c r="F73" s="28">
        <f>MAX(0,F71-F69)</f>
        <v/>
      </c>
      <c r="G73" s="28">
        <f>MAX(0,G71-G69)</f>
        <v/>
      </c>
      <c r="H73" s="28">
        <f>MAX(0,H71-H69)</f>
        <v/>
      </c>
      <c r="I73" s="28">
        <f>MAX(0,I71-I69)</f>
        <v/>
      </c>
      <c r="J73" s="28">
        <f>MAX(0,J71-J69)</f>
        <v/>
      </c>
      <c r="K73" s="28">
        <f>MAX(0,K71-K69)</f>
        <v/>
      </c>
      <c r="L73" s="28">
        <f>MAX(0,L71-L69)</f>
        <v/>
      </c>
    </row>
    <row r="74">
      <c r="B74" t="inlineStr">
        <is>
          <t>Погашение долга</t>
        </is>
      </c>
      <c r="C74" t="inlineStr">
        <is>
          <t>тыс руб</t>
        </is>
      </c>
      <c r="D74" s="28">
        <f>MAX(0,D69-D71)</f>
        <v/>
      </c>
      <c r="E74" s="28">
        <f>MAX(0,E69-E71)</f>
        <v/>
      </c>
      <c r="F74" s="28">
        <f>MAX(0,F69-F71)</f>
        <v/>
      </c>
      <c r="G74" s="28">
        <f>MAX(0,G69-G71)</f>
        <v/>
      </c>
      <c r="H74" s="28">
        <f>MAX(0,H69-H71)</f>
        <v/>
      </c>
      <c r="I74" s="28">
        <f>MAX(0,I69-I71)</f>
        <v/>
      </c>
      <c r="J74" s="28">
        <f>MAX(0,J69-J71)</f>
        <v/>
      </c>
      <c r="K74" s="28">
        <f>MAX(0,K69-K71)</f>
        <v/>
      </c>
      <c r="L74" s="28">
        <f>MAX(0,L69-L71)</f>
        <v/>
      </c>
    </row>
    <row r="75">
      <c r="B75" t="inlineStr">
        <is>
          <t>Денежный ресурс после закрытия долга</t>
        </is>
      </c>
      <c r="C75" t="inlineStr">
        <is>
          <t>тыс руб</t>
        </is>
      </c>
      <c r="D75" s="28">
        <f>MAX(0,D70-D69)</f>
        <v/>
      </c>
      <c r="E75" s="28">
        <f>MAX(0,E70-E69)</f>
        <v/>
      </c>
      <c r="F75" s="28">
        <f>MAX(0,F70-F69)</f>
        <v/>
      </c>
      <c r="G75" s="28">
        <f>MAX(0,G70-G69)</f>
        <v/>
      </c>
      <c r="H75" s="28">
        <f>MAX(0,H70-H69)</f>
        <v/>
      </c>
      <c r="I75" s="28">
        <f>MAX(0,I70-I69)</f>
        <v/>
      </c>
      <c r="J75" s="28">
        <f>MAX(0,J70-J69)</f>
        <v/>
      </c>
      <c r="K75" s="28">
        <f>MAX(0,K70-K69)</f>
        <v/>
      </c>
      <c r="L75" s="28">
        <f>MAX(0,L70-L69)</f>
        <v/>
      </c>
    </row>
    <row r="76">
      <c r="B76" t="inlineStr">
        <is>
          <t>Дивиденды</t>
        </is>
      </c>
      <c r="C76" t="inlineStr">
        <is>
          <t>тыс руб</t>
        </is>
      </c>
      <c r="D76" s="28">
        <f>IF(D71&gt;0,0,MAX(0,(D75-$C$42)*$C$41))</f>
        <v/>
      </c>
      <c r="E76" s="28">
        <f>IF(E71&gt;0,0,MAX(0,(E75-$C$42)*$C$41))</f>
        <v/>
      </c>
      <c r="F76" s="28">
        <f>IF(F71&gt;0,0,MAX(0,(F75-$C$42)*$C$41))</f>
        <v/>
      </c>
      <c r="G76" s="28">
        <f>IF(G71&gt;0,0,MAX(0,(G75-$C$42)*$C$41))</f>
        <v/>
      </c>
      <c r="H76" s="28">
        <f>IF(H71&gt;0,0,MAX(0,(H75-$C$42)*$C$41))</f>
        <v/>
      </c>
      <c r="I76" s="28">
        <f>IF(I71&gt;0,0,MAX(0,(I75-$C$42)*$C$41))</f>
        <v/>
      </c>
      <c r="J76" s="28">
        <f>IF(J71&gt;0,0,MAX(0,(J75-$C$42)*$C$41))</f>
        <v/>
      </c>
      <c r="K76" s="28">
        <f>IF(K71&gt;0,0,MAX(0,(K75-$C$42)*$C$41))</f>
        <v/>
      </c>
      <c r="L76" s="28">
        <f>IF(L71&gt;0,0,MAX(0,(L75-$C$42)*$C$41))</f>
        <v/>
      </c>
    </row>
    <row r="77">
      <c r="B77" t="inlineStr">
        <is>
          <t>Денежные средства на конец</t>
        </is>
      </c>
      <c r="C77" t="inlineStr">
        <is>
          <t>тыс руб</t>
        </is>
      </c>
      <c r="D77" s="28">
        <f>D70+D73-D74-D72-D76</f>
        <v/>
      </c>
      <c r="E77" s="28">
        <f>E70+E73-E74-E72-E76</f>
        <v/>
      </c>
      <c r="F77" s="28">
        <f>F70+F73-F74-F72-F76</f>
        <v/>
      </c>
      <c r="G77" s="28">
        <f>G70+G73-G74-G72-G76</f>
        <v/>
      </c>
      <c r="H77" s="28">
        <f>H70+H73-H74-H72-H76</f>
        <v/>
      </c>
      <c r="I77" s="28">
        <f>I70+I73-I74-I72-I76</f>
        <v/>
      </c>
      <c r="J77" s="28">
        <f>J70+J73-J74-J72-J76</f>
        <v/>
      </c>
      <c r="K77" s="28">
        <f>K70+K73-K74-K72-K76</f>
        <v/>
      </c>
      <c r="L77" s="28">
        <f>L70+L73-L74-L72-L76</f>
        <v/>
      </c>
    </row>
    <row r="79">
      <c r="B79" s="31" t="inlineStr">
        <is>
          <t>ОТЧЕТ О ПРИБЫЛЯХ И УБЫТКАХ (P&amp;L)</t>
        </is>
      </c>
    </row>
    <row r="80">
      <c r="B80" t="inlineStr">
        <is>
          <t>Выручка</t>
        </is>
      </c>
      <c r="C80" t="inlineStr">
        <is>
          <t>тыс руб</t>
        </is>
      </c>
      <c r="D80" s="28">
        <f>D47</f>
        <v/>
      </c>
      <c r="E80" s="28">
        <f>E47</f>
        <v/>
      </c>
      <c r="F80" s="28">
        <f>F47</f>
        <v/>
      </c>
      <c r="G80" s="28">
        <f>G47</f>
        <v/>
      </c>
      <c r="H80" s="28">
        <f>H47</f>
        <v/>
      </c>
      <c r="I80" s="28">
        <f>I47</f>
        <v/>
      </c>
      <c r="J80" s="28">
        <f>J47</f>
        <v/>
      </c>
      <c r="K80" s="28">
        <f>K47</f>
        <v/>
      </c>
      <c r="L80" s="28">
        <f>L47</f>
        <v/>
      </c>
    </row>
    <row r="81">
      <c r="B81" t="inlineStr">
        <is>
          <t>OPEX</t>
        </is>
      </c>
      <c r="C81" t="inlineStr">
        <is>
          <t>тыс руб</t>
        </is>
      </c>
      <c r="D81" s="28">
        <f>D53</f>
        <v/>
      </c>
      <c r="E81" s="28">
        <f>E53</f>
        <v/>
      </c>
      <c r="F81" s="28">
        <f>F53</f>
        <v/>
      </c>
      <c r="G81" s="28">
        <f>G53</f>
        <v/>
      </c>
      <c r="H81" s="28">
        <f>H53</f>
        <v/>
      </c>
      <c r="I81" s="28">
        <f>I53</f>
        <v/>
      </c>
      <c r="J81" s="28">
        <f>J53</f>
        <v/>
      </c>
      <c r="K81" s="28">
        <f>K53</f>
        <v/>
      </c>
      <c r="L81" s="28">
        <f>L53</f>
        <v/>
      </c>
    </row>
    <row r="82">
      <c r="B82" t="inlineStr">
        <is>
          <t>НДПИ</t>
        </is>
      </c>
      <c r="C82" t="inlineStr">
        <is>
          <t>тыс руб</t>
        </is>
      </c>
      <c r="D82" s="28">
        <f>D54</f>
        <v/>
      </c>
      <c r="E82" s="28">
        <f>E54</f>
        <v/>
      </c>
      <c r="F82" s="28">
        <f>F54</f>
        <v/>
      </c>
      <c r="G82" s="28">
        <f>G54</f>
        <v/>
      </c>
      <c r="H82" s="28">
        <f>H54</f>
        <v/>
      </c>
      <c r="I82" s="28">
        <f>I54</f>
        <v/>
      </c>
      <c r="J82" s="28">
        <f>J54</f>
        <v/>
      </c>
      <c r="K82" s="28">
        <f>K54</f>
        <v/>
      </c>
      <c r="L82" s="28">
        <f>L54</f>
        <v/>
      </c>
    </row>
    <row r="83">
      <c r="B83" t="inlineStr">
        <is>
          <t>EBIT</t>
        </is>
      </c>
      <c r="C83" t="inlineStr">
        <is>
          <t>тыс руб</t>
        </is>
      </c>
      <c r="D83" s="28">
        <f>D55</f>
        <v/>
      </c>
      <c r="E83" s="28">
        <f>E55</f>
        <v/>
      </c>
      <c r="F83" s="28">
        <f>F55</f>
        <v/>
      </c>
      <c r="G83" s="28">
        <f>G55</f>
        <v/>
      </c>
      <c r="H83" s="28">
        <f>H55</f>
        <v/>
      </c>
      <c r="I83" s="28">
        <f>I55</f>
        <v/>
      </c>
      <c r="J83" s="28">
        <f>J55</f>
        <v/>
      </c>
      <c r="K83" s="28">
        <f>K55</f>
        <v/>
      </c>
      <c r="L83" s="28">
        <f>L55</f>
        <v/>
      </c>
    </row>
    <row r="84">
      <c r="B84" t="inlineStr">
        <is>
          <t>Проценты</t>
        </is>
      </c>
      <c r="C84" t="inlineStr">
        <is>
          <t>тыс руб</t>
        </is>
      </c>
      <c r="D84" s="28">
        <f>D72</f>
        <v/>
      </c>
      <c r="E84" s="28">
        <f>E72</f>
        <v/>
      </c>
      <c r="F84" s="28">
        <f>F72</f>
        <v/>
      </c>
      <c r="G84" s="28">
        <f>G72</f>
        <v/>
      </c>
      <c r="H84" s="28">
        <f>H72</f>
        <v/>
      </c>
      <c r="I84" s="28">
        <f>I72</f>
        <v/>
      </c>
      <c r="J84" s="28">
        <f>J72</f>
        <v/>
      </c>
      <c r="K84" s="28">
        <f>K72</f>
        <v/>
      </c>
      <c r="L84" s="28">
        <f>L72</f>
        <v/>
      </c>
    </row>
    <row r="85">
      <c r="B85" t="inlineStr">
        <is>
          <t>Чистая прибыль</t>
        </is>
      </c>
      <c r="C85" t="inlineStr">
        <is>
          <t>тыс руб</t>
        </is>
      </c>
      <c r="D85" s="28">
        <f>D83-D84</f>
        <v/>
      </c>
      <c r="E85" s="28">
        <f>E83-E84</f>
        <v/>
      </c>
      <c r="F85" s="28">
        <f>F83-F84</f>
        <v/>
      </c>
      <c r="G85" s="28">
        <f>G83-G84</f>
        <v/>
      </c>
      <c r="H85" s="28">
        <f>H83-H84</f>
        <v/>
      </c>
      <c r="I85" s="28">
        <f>I83-I84</f>
        <v/>
      </c>
      <c r="J85" s="28">
        <f>J83-J84</f>
        <v/>
      </c>
      <c r="K85" s="28">
        <f>K83-K84</f>
        <v/>
      </c>
      <c r="L85" s="28">
        <f>L83-L84</f>
        <v/>
      </c>
    </row>
    <row r="87">
      <c r="B87" s="31" t="inlineStr">
        <is>
          <t>БАЛАНС (BS)</t>
        </is>
      </c>
    </row>
    <row r="88">
      <c r="B88" t="inlineStr">
        <is>
          <t>Денежные средства</t>
        </is>
      </c>
      <c r="C88" t="inlineStr">
        <is>
          <t>тыс руб</t>
        </is>
      </c>
      <c r="D88" s="28">
        <f>D77</f>
        <v/>
      </c>
      <c r="E88" s="28">
        <f>E77</f>
        <v/>
      </c>
      <c r="F88" s="28">
        <f>F77</f>
        <v/>
      </c>
      <c r="G88" s="28">
        <f>G77</f>
        <v/>
      </c>
      <c r="H88" s="28">
        <f>H77</f>
        <v/>
      </c>
      <c r="I88" s="28">
        <f>I77</f>
        <v/>
      </c>
      <c r="J88" s="28">
        <f>J77</f>
        <v/>
      </c>
      <c r="K88" s="28">
        <f>K77</f>
        <v/>
      </c>
      <c r="L88" s="28">
        <f>L77</f>
        <v/>
      </c>
    </row>
    <row r="89">
      <c r="B89" t="inlineStr">
        <is>
          <t>ДЗ</t>
        </is>
      </c>
      <c r="C89" t="inlineStr">
        <is>
          <t>тыс руб</t>
        </is>
      </c>
      <c r="D89" s="28">
        <f>D57</f>
        <v/>
      </c>
      <c r="E89" s="28">
        <f>E57</f>
        <v/>
      </c>
      <c r="F89" s="28">
        <f>F57</f>
        <v/>
      </c>
      <c r="G89" s="28">
        <f>G57</f>
        <v/>
      </c>
      <c r="H89" s="28">
        <f>H57</f>
        <v/>
      </c>
      <c r="I89" s="28">
        <f>I57</f>
        <v/>
      </c>
      <c r="J89" s="28">
        <f>J57</f>
        <v/>
      </c>
      <c r="K89" s="28">
        <f>K57</f>
        <v/>
      </c>
      <c r="L89" s="28">
        <f>L57</f>
        <v/>
      </c>
    </row>
    <row r="90">
      <c r="B90" t="inlineStr">
        <is>
          <t>ОС (без амортизации)</t>
        </is>
      </c>
      <c r="C90" t="inlineStr">
        <is>
          <t>тыс руб</t>
        </is>
      </c>
      <c r="D90" s="28">
        <f>D65</f>
        <v/>
      </c>
      <c r="E90" s="28">
        <f>E65</f>
        <v/>
      </c>
      <c r="F90" s="28">
        <f>F65</f>
        <v/>
      </c>
      <c r="G90" s="28">
        <f>G65</f>
        <v/>
      </c>
      <c r="H90" s="28">
        <f>H65</f>
        <v/>
      </c>
      <c r="I90" s="28">
        <f>I65</f>
        <v/>
      </c>
      <c r="J90" s="28">
        <f>J65</f>
        <v/>
      </c>
      <c r="K90" s="28">
        <f>K65</f>
        <v/>
      </c>
      <c r="L90" s="28">
        <f>L65</f>
        <v/>
      </c>
    </row>
    <row r="91">
      <c r="B91" t="inlineStr">
        <is>
          <t>Итого активы</t>
        </is>
      </c>
      <c r="C91" t="inlineStr">
        <is>
          <t>тыс руб</t>
        </is>
      </c>
      <c r="D91" s="28">
        <f>D88+D89+D90+D66</f>
        <v/>
      </c>
      <c r="E91" s="28">
        <f>E88+E89+E90+E66</f>
        <v/>
      </c>
      <c r="F91" s="28">
        <f>F88+F89+F90+F66</f>
        <v/>
      </c>
      <c r="G91" s="28">
        <f>G88+G89+G90+G66</f>
        <v/>
      </c>
      <c r="H91" s="28">
        <f>H88+H89+H90+H66</f>
        <v/>
      </c>
      <c r="I91" s="28">
        <f>I88+I89+I90+I66</f>
        <v/>
      </c>
      <c r="J91" s="28">
        <f>J88+J89+J90+J66</f>
        <v/>
      </c>
      <c r="K91" s="28">
        <f>K88+K89+K90+K66</f>
        <v/>
      </c>
      <c r="L91" s="28">
        <f>L88+L89+L90+L66</f>
        <v/>
      </c>
    </row>
    <row r="92">
      <c r="B92" t="inlineStr">
        <is>
          <t>КЗ</t>
        </is>
      </c>
      <c r="C92" t="inlineStr">
        <is>
          <t>тыс руб</t>
        </is>
      </c>
      <c r="D92" s="28">
        <f>D58</f>
        <v/>
      </c>
      <c r="E92" s="28">
        <f>E58</f>
        <v/>
      </c>
      <c r="F92" s="28">
        <f>F58</f>
        <v/>
      </c>
      <c r="G92" s="28">
        <f>G58</f>
        <v/>
      </c>
      <c r="H92" s="28">
        <f>H58</f>
        <v/>
      </c>
      <c r="I92" s="28">
        <f>I58</f>
        <v/>
      </c>
      <c r="J92" s="28">
        <f>J58</f>
        <v/>
      </c>
      <c r="K92" s="28">
        <f>K58</f>
        <v/>
      </c>
      <c r="L92" s="28">
        <f>L58</f>
        <v/>
      </c>
    </row>
    <row r="93">
      <c r="B93" t="inlineStr">
        <is>
          <t>Долг</t>
        </is>
      </c>
      <c r="C93" t="inlineStr">
        <is>
          <t>тыс руб</t>
        </is>
      </c>
      <c r="D93" s="28">
        <f>D71</f>
        <v/>
      </c>
      <c r="E93" s="28">
        <f>E71</f>
        <v/>
      </c>
      <c r="F93" s="28">
        <f>F71</f>
        <v/>
      </c>
      <c r="G93" s="28">
        <f>G71</f>
        <v/>
      </c>
      <c r="H93" s="28">
        <f>H71</f>
        <v/>
      </c>
      <c r="I93" s="28">
        <f>I71</f>
        <v/>
      </c>
      <c r="J93" s="28">
        <f>J71</f>
        <v/>
      </c>
      <c r="K93" s="28">
        <f>K71</f>
        <v/>
      </c>
      <c r="L93" s="28">
        <f>L71</f>
        <v/>
      </c>
    </row>
    <row r="94">
      <c r="B94" t="inlineStr">
        <is>
          <t>Капитал и нераспределенная прибыль</t>
        </is>
      </c>
      <c r="C94" t="inlineStr">
        <is>
          <t>тыс руб</t>
        </is>
      </c>
      <c r="D94" s="28">
        <f>N(C94)+D67+D85-D76</f>
        <v/>
      </c>
      <c r="E94" s="28">
        <f>N(D94)+E67+E85-E76</f>
        <v/>
      </c>
      <c r="F94" s="28">
        <f>N(E94)+F67+F85-F76</f>
        <v/>
      </c>
      <c r="G94" s="28">
        <f>N(F94)+G67+G85-G76</f>
        <v/>
      </c>
      <c r="H94" s="28">
        <f>N(G94)+H67+H85-H76</f>
        <v/>
      </c>
      <c r="I94" s="28">
        <f>N(H94)+I67+I85-I76</f>
        <v/>
      </c>
      <c r="J94" s="28">
        <f>N(I94)+J67+J85-J76</f>
        <v/>
      </c>
      <c r="K94" s="28">
        <f>N(J94)+K67+K85-K76</f>
        <v/>
      </c>
      <c r="L94" s="28">
        <f>N(K94)+L67+L85-L76</f>
        <v/>
      </c>
    </row>
    <row r="95">
      <c r="B95" t="inlineStr">
        <is>
          <t>Итого пассивы и капитал</t>
        </is>
      </c>
      <c r="C95" t="inlineStr">
        <is>
          <t>тыс руб</t>
        </is>
      </c>
      <c r="D95" s="28">
        <f>D92+D93+D94</f>
        <v/>
      </c>
      <c r="E95" s="28">
        <f>E92+E93+E94</f>
        <v/>
      </c>
      <c r="F95" s="28">
        <f>F92+F93+F94</f>
        <v/>
      </c>
      <c r="G95" s="28">
        <f>G92+G93+G94</f>
        <v/>
      </c>
      <c r="H95" s="28">
        <f>H92+H93+H94</f>
        <v/>
      </c>
      <c r="I95" s="28">
        <f>I92+I93+I94</f>
        <v/>
      </c>
      <c r="J95" s="28">
        <f>J92+J93+J94</f>
        <v/>
      </c>
      <c r="K95" s="28">
        <f>K92+K93+K94</f>
        <v/>
      </c>
      <c r="L95" s="28">
        <f>L92+L93+L94</f>
        <v/>
      </c>
    </row>
    <row r="96">
      <c r="B96" t="inlineStr">
        <is>
          <t>Контроль баланса (должно быть 0)</t>
        </is>
      </c>
      <c r="C96" t="inlineStr">
        <is>
          <t>тыс руб</t>
        </is>
      </c>
      <c r="D96" s="28">
        <f>D91-D95</f>
        <v/>
      </c>
      <c r="E96" s="28">
        <f>E91-E95</f>
        <v/>
      </c>
      <c r="F96" s="28">
        <f>F91-F95</f>
        <v/>
      </c>
      <c r="G96" s="28">
        <f>G91-G95</f>
        <v/>
      </c>
      <c r="H96" s="28">
        <f>H91-H95</f>
        <v/>
      </c>
      <c r="I96" s="28">
        <f>I91-I95</f>
        <v/>
      </c>
      <c r="J96" s="28">
        <f>J91-J95</f>
        <v/>
      </c>
      <c r="K96" s="28">
        <f>K91-K95</f>
        <v/>
      </c>
      <c r="L96" s="28">
        <f>L91-L95</f>
        <v/>
      </c>
    </row>
    <row r="98">
      <c r="B98" s="31" t="inlineStr">
        <is>
          <t>ДВИЖЕНИЕ ДЕНЕЖНЫХ СРЕДСТВ (CF)</t>
        </is>
      </c>
    </row>
    <row r="99">
      <c r="B99" t="inlineStr">
        <is>
          <t>CFO (до процентов)</t>
        </is>
      </c>
      <c r="C99" t="inlineStr">
        <is>
          <t>тыс руб</t>
        </is>
      </c>
      <c r="D99" s="28">
        <f>D61</f>
        <v/>
      </c>
      <c r="E99" s="28">
        <f>E61</f>
        <v/>
      </c>
      <c r="F99" s="28">
        <f>F61</f>
        <v/>
      </c>
      <c r="G99" s="28">
        <f>G61</f>
        <v/>
      </c>
      <c r="H99" s="28">
        <f>H61</f>
        <v/>
      </c>
      <c r="I99" s="28">
        <f>I61</f>
        <v/>
      </c>
      <c r="J99" s="28">
        <f>J61</f>
        <v/>
      </c>
      <c r="K99" s="28">
        <f>K61</f>
        <v/>
      </c>
      <c r="L99" s="28">
        <f>L61</f>
        <v/>
      </c>
    </row>
    <row r="100">
      <c r="B100" t="inlineStr">
        <is>
          <t>CFI (CAPEX)</t>
        </is>
      </c>
      <c r="C100" t="inlineStr">
        <is>
          <t>тыс руб</t>
        </is>
      </c>
      <c r="D100" s="28">
        <f>-D63</f>
        <v/>
      </c>
      <c r="E100" s="28">
        <f>-E63</f>
        <v/>
      </c>
      <c r="F100" s="28">
        <f>-F63</f>
        <v/>
      </c>
      <c r="G100" s="28">
        <f>-G63</f>
        <v/>
      </c>
      <c r="H100" s="28">
        <f>-H63</f>
        <v/>
      </c>
      <c r="I100" s="28">
        <f>-I63</f>
        <v/>
      </c>
      <c r="J100" s="28">
        <f>-J63</f>
        <v/>
      </c>
      <c r="K100" s="28">
        <f>-K63</f>
        <v/>
      </c>
      <c r="L100" s="28">
        <f>-L63</f>
        <v/>
      </c>
    </row>
    <row r="101">
      <c r="B101" t="inlineStr">
        <is>
          <t>CFF: Equity in</t>
        </is>
      </c>
      <c r="C101" t="inlineStr">
        <is>
          <t>тыс руб</t>
        </is>
      </c>
      <c r="D101" s="28">
        <f>D67</f>
        <v/>
      </c>
      <c r="E101" s="28">
        <f>E67</f>
        <v/>
      </c>
      <c r="F101" s="28">
        <f>F67</f>
        <v/>
      </c>
      <c r="G101" s="28">
        <f>G67</f>
        <v/>
      </c>
      <c r="H101" s="28">
        <f>H67</f>
        <v/>
      </c>
      <c r="I101" s="28">
        <f>I67</f>
        <v/>
      </c>
      <c r="J101" s="28">
        <f>J67</f>
        <v/>
      </c>
      <c r="K101" s="28">
        <f>K67</f>
        <v/>
      </c>
      <c r="L101" s="28">
        <f>L67</f>
        <v/>
      </c>
    </row>
    <row r="102">
      <c r="B102" t="inlineStr">
        <is>
          <t>CFF: Draw debt</t>
        </is>
      </c>
      <c r="C102" t="inlineStr">
        <is>
          <t>тыс руб</t>
        </is>
      </c>
      <c r="D102" s="28">
        <f>D73</f>
        <v/>
      </c>
      <c r="E102" s="28">
        <f>E73</f>
        <v/>
      </c>
      <c r="F102" s="28">
        <f>F73</f>
        <v/>
      </c>
      <c r="G102" s="28">
        <f>G73</f>
        <v/>
      </c>
      <c r="H102" s="28">
        <f>H73</f>
        <v/>
      </c>
      <c r="I102" s="28">
        <f>I73</f>
        <v/>
      </c>
      <c r="J102" s="28">
        <f>J73</f>
        <v/>
      </c>
      <c r="K102" s="28">
        <f>K73</f>
        <v/>
      </c>
      <c r="L102" s="28">
        <f>L73</f>
        <v/>
      </c>
    </row>
    <row r="103">
      <c r="B103" t="inlineStr">
        <is>
          <t>CFF: Repay debt</t>
        </is>
      </c>
      <c r="C103" t="inlineStr">
        <is>
          <t>тыс руб</t>
        </is>
      </c>
      <c r="D103" s="28">
        <f>-D74</f>
        <v/>
      </c>
      <c r="E103" s="28">
        <f>-E74</f>
        <v/>
      </c>
      <c r="F103" s="28">
        <f>-F74</f>
        <v/>
      </c>
      <c r="G103" s="28">
        <f>-G74</f>
        <v/>
      </c>
      <c r="H103" s="28">
        <f>-H74</f>
        <v/>
      </c>
      <c r="I103" s="28">
        <f>-I74</f>
        <v/>
      </c>
      <c r="J103" s="28">
        <f>-J74</f>
        <v/>
      </c>
      <c r="K103" s="28">
        <f>-K74</f>
        <v/>
      </c>
      <c r="L103" s="28">
        <f>-L74</f>
        <v/>
      </c>
    </row>
    <row r="104">
      <c r="B104" t="inlineStr">
        <is>
          <t>CFF: Interest</t>
        </is>
      </c>
      <c r="C104" t="inlineStr">
        <is>
          <t>тыс руб</t>
        </is>
      </c>
      <c r="D104" s="28">
        <f>-D72</f>
        <v/>
      </c>
      <c r="E104" s="28">
        <f>-E72</f>
        <v/>
      </c>
      <c r="F104" s="28">
        <f>-F72</f>
        <v/>
      </c>
      <c r="G104" s="28">
        <f>-G72</f>
        <v/>
      </c>
      <c r="H104" s="28">
        <f>-H72</f>
        <v/>
      </c>
      <c r="I104" s="28">
        <f>-I72</f>
        <v/>
      </c>
      <c r="J104" s="28">
        <f>-J72</f>
        <v/>
      </c>
      <c r="K104" s="28">
        <f>-K72</f>
        <v/>
      </c>
      <c r="L104" s="28">
        <f>-L72</f>
        <v/>
      </c>
    </row>
    <row r="105">
      <c r="B105" t="inlineStr">
        <is>
          <t>CFF: Dividends</t>
        </is>
      </c>
      <c r="C105" t="inlineStr">
        <is>
          <t>тыс руб</t>
        </is>
      </c>
      <c r="D105" s="28">
        <f>-D76</f>
        <v/>
      </c>
      <c r="E105" s="28">
        <f>-E76</f>
        <v/>
      </c>
      <c r="F105" s="28">
        <f>-F76</f>
        <v/>
      </c>
      <c r="G105" s="28">
        <f>-G76</f>
        <v/>
      </c>
      <c r="H105" s="28">
        <f>-H76</f>
        <v/>
      </c>
      <c r="I105" s="28">
        <f>-I76</f>
        <v/>
      </c>
      <c r="J105" s="28">
        <f>-J76</f>
        <v/>
      </c>
      <c r="K105" s="28">
        <f>-K76</f>
        <v/>
      </c>
      <c r="L105" s="28">
        <f>-L76</f>
        <v/>
      </c>
    </row>
    <row r="106">
      <c r="B106" t="inlineStr">
        <is>
          <t>Net CF</t>
        </is>
      </c>
      <c r="C106" t="inlineStr">
        <is>
          <t>тыс руб</t>
        </is>
      </c>
      <c r="D106" s="28">
        <f>SUM(D99:D105)</f>
        <v/>
      </c>
      <c r="E106" s="28">
        <f>SUM(E99:E105)</f>
        <v/>
      </c>
      <c r="F106" s="28">
        <f>SUM(F99:F105)</f>
        <v/>
      </c>
      <c r="G106" s="28">
        <f>SUM(G99:G105)</f>
        <v/>
      </c>
      <c r="H106" s="28">
        <f>SUM(H99:H105)</f>
        <v/>
      </c>
      <c r="I106" s="28">
        <f>SUM(I99:I105)</f>
        <v/>
      </c>
      <c r="J106" s="28">
        <f>SUM(J99:J105)</f>
        <v/>
      </c>
      <c r="K106" s="28">
        <f>SUM(K99:K105)</f>
        <v/>
      </c>
      <c r="L106" s="28">
        <f>SUM(L99:L105)</f>
        <v/>
      </c>
    </row>
    <row r="107">
      <c r="B107" t="inlineStr">
        <is>
          <t>Контроль CF-моста (должно быть 0)</t>
        </is>
      </c>
      <c r="C107" t="inlineStr">
        <is>
          <t>тыс руб</t>
        </is>
      </c>
      <c r="D107" s="28">
        <f>D77-D68-D106</f>
        <v/>
      </c>
      <c r="E107" s="28">
        <f>E77-E68-E106</f>
        <v/>
      </c>
      <c r="F107" s="28">
        <f>F77-F68-F106</f>
        <v/>
      </c>
      <c r="G107" s="28">
        <f>G77-G68-G106</f>
        <v/>
      </c>
      <c r="H107" s="28">
        <f>H77-H68-H106</f>
        <v/>
      </c>
      <c r="I107" s="28">
        <f>I77-I68-I106</f>
        <v/>
      </c>
      <c r="J107" s="28">
        <f>J77-J68-J106</f>
        <v/>
      </c>
      <c r="K107" s="28">
        <f>K77-K68-K106</f>
        <v/>
      </c>
      <c r="L107" s="28">
        <f>L77-L68-L106</f>
        <v/>
      </c>
    </row>
    <row r="109">
      <c r="B109" s="31" t="inlineStr">
        <is>
          <t>ОЦЕНКА ЭФФЕКТИВНОСТИ</t>
        </is>
      </c>
    </row>
    <row r="110">
      <c r="B110" t="inlineStr">
        <is>
          <t>FCFF проекта</t>
        </is>
      </c>
      <c r="C110" t="inlineStr">
        <is>
          <t>тыс руб</t>
        </is>
      </c>
      <c r="D110" s="28">
        <f>D61-D63</f>
        <v/>
      </c>
      <c r="E110" s="28">
        <f>E61-E63</f>
        <v/>
      </c>
      <c r="F110" s="28">
        <f>F61-F63</f>
        <v/>
      </c>
      <c r="G110" s="28">
        <f>G61-G63</f>
        <v/>
      </c>
      <c r="H110" s="28">
        <f>H61-H63</f>
        <v/>
      </c>
      <c r="I110" s="28">
        <f>I61-I63</f>
        <v/>
      </c>
      <c r="J110" s="28">
        <f>J61-J63</f>
        <v/>
      </c>
      <c r="K110" s="28">
        <f>K61-K63</f>
        <v/>
      </c>
      <c r="L110" s="28">
        <f>L61-L63</f>
        <v/>
      </c>
    </row>
    <row r="111">
      <c r="B111" t="inlineStr">
        <is>
          <t>Коэффициент дисконтирования</t>
        </is>
      </c>
      <c r="D111" s="32">
        <f>1/(1+D12)^(D5-2022)</f>
        <v/>
      </c>
      <c r="E111" s="32">
        <f>1/(1+E12)^(E5-2022)</f>
        <v/>
      </c>
      <c r="F111" s="32">
        <f>1/(1+F12)^(F5-2022)</f>
        <v/>
      </c>
      <c r="G111" s="32">
        <f>1/(1+G12)^(G5-2022)</f>
        <v/>
      </c>
      <c r="H111" s="32">
        <f>1/(1+H12)^(H5-2022)</f>
        <v/>
      </c>
      <c r="I111" s="32">
        <f>1/(1+I12)^(I5-2022)</f>
        <v/>
      </c>
      <c r="J111" s="32">
        <f>1/(1+J12)^(J5-2022)</f>
        <v/>
      </c>
      <c r="K111" s="32">
        <f>1/(1+K12)^(K5-2022)</f>
        <v/>
      </c>
      <c r="L111" s="32">
        <f>1/(1+L12)^(L5-2022)</f>
        <v/>
      </c>
    </row>
    <row r="112">
      <c r="B112" t="inlineStr">
        <is>
          <t>PV FCFF</t>
        </is>
      </c>
      <c r="C112" t="inlineStr">
        <is>
          <t>тыс руб</t>
        </is>
      </c>
      <c r="D112" s="28">
        <f>D110*D111</f>
        <v/>
      </c>
      <c r="E112" s="28">
        <f>E110*E111</f>
        <v/>
      </c>
      <c r="F112" s="28">
        <f>F110*F111</f>
        <v/>
      </c>
      <c r="G112" s="28">
        <f>G110*G111</f>
        <v/>
      </c>
      <c r="H112" s="28">
        <f>H110*H111</f>
        <v/>
      </c>
      <c r="I112" s="28">
        <f>I110*I111</f>
        <v/>
      </c>
      <c r="J112" s="28">
        <f>J110*J111</f>
        <v/>
      </c>
      <c r="K112" s="28">
        <f>K110*K111</f>
        <v/>
      </c>
      <c r="L112" s="28">
        <f>L110*L111</f>
        <v/>
      </c>
    </row>
    <row r="113">
      <c r="B113" t="inlineStr">
        <is>
          <t>Equity cash flow (для акционера)</t>
        </is>
      </c>
      <c r="C113" t="inlineStr">
        <is>
          <t>тыс руб</t>
        </is>
      </c>
      <c r="D113" s="28">
        <f>-D67+D76</f>
        <v/>
      </c>
      <c r="E113" s="28">
        <f>-E67+E76</f>
        <v/>
      </c>
      <c r="F113" s="28">
        <f>-F67+F76</f>
        <v/>
      </c>
      <c r="G113" s="28">
        <f>-G67+G76</f>
        <v/>
      </c>
      <c r="H113" s="28">
        <f>-H67+H76</f>
        <v/>
      </c>
      <c r="I113" s="28">
        <f>-I67+I76</f>
        <v/>
      </c>
      <c r="J113" s="28">
        <f>-J67+J76</f>
        <v/>
      </c>
      <c r="K113" s="28">
        <f>-K67+K76</f>
        <v/>
      </c>
      <c r="L113" s="28">
        <f>-L67+L76</f>
        <v/>
      </c>
    </row>
    <row r="114">
      <c r="B114" t="inlineStr">
        <is>
          <t>PV Equity CF</t>
        </is>
      </c>
      <c r="C114" t="inlineStr">
        <is>
          <t>тыс руб</t>
        </is>
      </c>
      <c r="D114" s="28">
        <f>D113*D111</f>
        <v/>
      </c>
      <c r="E114" s="28">
        <f>E113*E111</f>
        <v/>
      </c>
      <c r="F114" s="28">
        <f>F113*F111</f>
        <v/>
      </c>
      <c r="G114" s="28">
        <f>G113*G111</f>
        <v/>
      </c>
      <c r="H114" s="28">
        <f>H113*H111</f>
        <v/>
      </c>
      <c r="I114" s="28">
        <f>I113*I111</f>
        <v/>
      </c>
      <c r="J114" s="28">
        <f>J113*J111</f>
        <v/>
      </c>
      <c r="K114" s="28">
        <f>K113*K111</f>
        <v/>
      </c>
      <c r="L114" s="28">
        <f>L113*L111</f>
        <v/>
      </c>
    </row>
    <row r="116">
      <c r="B116" t="inlineStr">
        <is>
          <t>NPV проекта</t>
        </is>
      </c>
      <c r="C116">
        <f>SUM(D112:L112)</f>
        <v/>
      </c>
    </row>
    <row r="117">
      <c r="B117" t="inlineStr">
        <is>
          <t>IRR проекта</t>
        </is>
      </c>
      <c r="C117">
        <f>IFERROR(IRR(D110:L110),"n/a")</f>
        <v/>
      </c>
    </row>
    <row r="118">
      <c r="B118" t="inlineStr">
        <is>
          <t>NPV акционера</t>
        </is>
      </c>
      <c r="C118">
        <f>SUM(D114:L114)</f>
        <v/>
      </c>
    </row>
    <row r="119">
      <c r="B119" t="inlineStr">
        <is>
          <t>IRR акционера</t>
        </is>
      </c>
      <c r="C119">
        <f>IFERROR(IRR(D113:L113),"n/a")</f>
        <v/>
      </c>
    </row>
    <row r="120">
      <c r="B120" t="inlineStr">
        <is>
          <t>Год полного погашения долга</t>
        </is>
      </c>
      <c r="C120">
        <f>IFERROR(INDEX(D5:L5,MATCH(0,D71:L71,0)),"not repaid")</f>
        <v/>
      </c>
    </row>
    <row r="121">
      <c r="B121" t="inlineStr">
        <is>
          <t>Накопленные дивиденды</t>
        </is>
      </c>
      <c r="C121">
        <f>SUM(D76:L76)</f>
        <v/>
      </c>
    </row>
    <row r="123">
      <c r="B123" s="31" t="inlineStr">
        <is>
          <t>КОНТРОЛИ КАЧЕСТВА МОДЕЛИ</t>
        </is>
      </c>
    </row>
    <row r="124">
      <c r="B124" t="inlineStr">
        <is>
          <t>Дивиденды при долге (должно быть OK)</t>
        </is>
      </c>
      <c r="C124">
        <f>IF(SUMPRODUCT(--(D71:L71&gt;0),--(D76:L76&gt;0))=0,"OK","FAIL")</f>
        <v/>
      </c>
    </row>
    <row r="125">
      <c r="B125" t="inlineStr">
        <is>
          <t>Сходимость баланса (должно быть OK)</t>
        </is>
      </c>
      <c r="C125">
        <f>IF(MAX(ABS(D96),ABS(E96),ABS(F96),ABS(G96),ABS(H96),ABS(I96),ABS(J96),ABS(K96),ABS(L96))&lt;1,"OK","FAIL")</f>
        <v/>
      </c>
    </row>
    <row r="126">
      <c r="B126" t="inlineStr">
        <is>
          <t>Сходимость CF-моста (должно быть OK)</t>
        </is>
      </c>
      <c r="C126">
        <f>IF(MAX(ABS(D107),ABS(E107),ABS(F107),ABS(G107),ABS(H107),ABS(I107),ABS(J107),ABS(K107),ABS(L107))&lt;1,"OK","FAIL")</f>
        <v/>
      </c>
    </row>
    <row r="128">
      <c r="B128" s="31" t="inlineStr">
        <is>
          <t>GAME THEORY: матрица выплат (Equity NPV)</t>
        </is>
      </c>
    </row>
    <row r="129">
      <c r="B129" s="33" t="inlineStr">
        <is>
          <t>Стратегия</t>
        </is>
      </c>
      <c r="C129" s="33" t="inlineStr">
        <is>
          <t>Bear</t>
        </is>
      </c>
      <c r="D129" s="33" t="inlineStr">
        <is>
          <t>Base</t>
        </is>
      </c>
      <c r="E129" s="33" t="inlineStr">
        <is>
          <t>Bull</t>
        </is>
      </c>
      <c r="F129" s="33" t="inlineStr">
        <is>
          <t>Min payoff</t>
        </is>
      </c>
      <c r="G129" s="33" t="inlineStr">
        <is>
          <t>Max regret</t>
        </is>
      </c>
      <c r="H129" s="33" t="inlineStr">
        <is>
          <t>Источник</t>
        </is>
      </c>
      <c r="J129" s="24" t="n"/>
    </row>
    <row r="130">
      <c r="B130" t="inlineStr">
        <is>
          <t>S1 Conservative</t>
        </is>
      </c>
      <c r="C130">
        <f>C175</f>
        <v/>
      </c>
      <c r="D130" s="28">
        <f>C202</f>
        <v/>
      </c>
      <c r="E130" s="28">
        <f>C229</f>
        <v/>
      </c>
      <c r="F130" s="28">
        <f>MIN(C130:E130)</f>
        <v/>
      </c>
      <c r="G130" s="28">
        <f>MAX(MAX(C$130:C$132)-C130,MAX(D$130:D$132)-D130,MAX(E$130:E$132)-E130)</f>
        <v/>
      </c>
      <c r="H130" t="inlineStr">
        <is>
          <t>Full model</t>
        </is>
      </c>
      <c r="K130" s="28" t="n"/>
    </row>
    <row r="131">
      <c r="B131" t="inlineStr">
        <is>
          <t>S2 Base</t>
        </is>
      </c>
      <c r="C131">
        <f>C256</f>
        <v/>
      </c>
      <c r="D131" s="28">
        <f>C283</f>
        <v/>
      </c>
      <c r="E131" s="28">
        <f>C310</f>
        <v/>
      </c>
      <c r="F131" s="28">
        <f>MIN(C131:E131)</f>
        <v/>
      </c>
      <c r="G131" s="28">
        <f>MAX(MAX(C$130:C$132)-C131,MAX(D$130:D$132)-D131,MAX(E$130:E$132)-E131)</f>
        <v/>
      </c>
      <c r="H131" t="inlineStr">
        <is>
          <t>Full model</t>
        </is>
      </c>
      <c r="K131" s="28" t="n"/>
    </row>
    <row r="132">
      <c r="B132" t="inlineStr">
        <is>
          <t>S3 Aggressive</t>
        </is>
      </c>
      <c r="C132">
        <f>C337</f>
        <v/>
      </c>
      <c r="D132" s="28">
        <f>C364</f>
        <v/>
      </c>
      <c r="E132" s="28">
        <f>C391</f>
        <v/>
      </c>
      <c r="F132" s="28">
        <f>MIN(C132:E132)</f>
        <v/>
      </c>
      <c r="G132" s="28">
        <f>MAX(MAX(C$130:C$132)-C132,MAX(D$130:D$132)-D132,MAX(E$130:E$132)-E132)</f>
        <v/>
      </c>
      <c r="H132" t="inlineStr">
        <is>
          <t>Full model</t>
        </is>
      </c>
      <c r="K132" s="28" t="n"/>
    </row>
    <row r="133"/>
    <row r="134">
      <c r="B134" t="inlineStr">
        <is>
          <t>Рекомендуемая стратегия (критерий maximin)</t>
        </is>
      </c>
      <c r="C134">
        <f>INDEX(B130:B132,MATCH(MAX(F130:F132),F130:F132,0))</f>
        <v/>
      </c>
    </row>
    <row r="135">
      <c r="B135" t="inlineStr">
        <is>
          <t>Рекомендуемая стратегия (критерий minimax regret)</t>
        </is>
      </c>
      <c r="C135">
        <f>INDEX(B130:B132,MATCH(MIN(G130:G132),G130:G132,0))</f>
        <v/>
      </c>
    </row>
    <row r="136">
      <c r="B136" t="inlineStr">
        <is>
          <t>Итоговая рекомендация</t>
        </is>
      </c>
      <c r="C136">
        <f>IF(C134=C135,C134,C134&amp;" (приоритет maximin)")</f>
        <v/>
      </c>
    </row>
    <row r="150">
      <c r="B150" s="31" t="inlineStr">
        <is>
          <t>ENGINE S1 x SC1</t>
        </is>
      </c>
      <c r="C150" t="inlineStr">
        <is>
          <t>pm=0.8, vm=0.9, dCost=0.03, payout=0.5, reserve=100000</t>
        </is>
      </c>
    </row>
    <row r="151">
      <c r="B151" t="inlineStr">
        <is>
          <t>Cost cum adj</t>
        </is>
      </c>
      <c r="D151" s="29">
        <f>(1+D7+0.03)</f>
        <v/>
      </c>
      <c r="E151" s="29">
        <f>D151*(1+E7+0.03)</f>
        <v/>
      </c>
      <c r="F151" s="29">
        <f>E151*(1+F7+0.03)</f>
        <v/>
      </c>
      <c r="G151" s="29">
        <f>F151*(1+G7+0.03)</f>
        <v/>
      </c>
      <c r="H151" s="29">
        <f>G151*(1+H7+0.03)</f>
        <v/>
      </c>
      <c r="I151" s="29">
        <f>H151*(1+I7+0.03)</f>
        <v/>
      </c>
      <c r="J151" s="29">
        <f>I151*(1+J7+0.03)</f>
        <v/>
      </c>
      <c r="K151" s="29">
        <f>J151*(1+K7+0.03)</f>
        <v/>
      </c>
      <c r="L151" s="29">
        <f>K151*(1+L7+0.03)</f>
        <v/>
      </c>
    </row>
    <row r="152">
      <c r="B152" t="inlineStr">
        <is>
          <t>Revenue</t>
        </is>
      </c>
      <c r="D152" s="29">
        <f>D17*D18*0.9*D11*D10*0.8</f>
        <v/>
      </c>
      <c r="E152" s="29">
        <f>E17*E18*0.9*E11*E10*0.8</f>
        <v/>
      </c>
      <c r="F152" s="29">
        <f>F17*F18*0.9*F11*F10*0.8</f>
        <v/>
      </c>
      <c r="G152" s="29">
        <f>G17*G18*0.9*G11*G10*0.8</f>
        <v/>
      </c>
      <c r="H152" s="29">
        <f>H17*H18*0.9*H11*H10*0.8</f>
        <v/>
      </c>
      <c r="I152" s="29">
        <f>I17*I18*0.9*I11*I10*0.8</f>
        <v/>
      </c>
      <c r="J152" s="29">
        <f>J17*J18*0.9*J11*J10*0.8</f>
        <v/>
      </c>
      <c r="K152" s="29">
        <f>K17*K18*0.9*K11*K10*0.8</f>
        <v/>
      </c>
      <c r="L152" s="29">
        <f>L17*L18*0.9*L11*L10*0.8</f>
        <v/>
      </c>
    </row>
    <row r="153">
      <c r="B153" t="inlineStr">
        <is>
          <t>OPEX</t>
        </is>
      </c>
      <c r="D153" s="29">
        <f>D17*1000*D19*D151*0.9+D17*D18*0.9*D20*D151+D21*D151</f>
        <v/>
      </c>
      <c r="E153" s="29">
        <f>E17*1000*E19*E151*0.9+E17*E18*0.9*E20*E151+E21*E151</f>
        <v/>
      </c>
      <c r="F153" s="29">
        <f>F17*1000*F19*F151*0.9+F17*F18*0.9*F20*F151+F21*F151</f>
        <v/>
      </c>
      <c r="G153" s="29">
        <f>G17*1000*G19*G151*0.9+G17*G18*0.9*G20*G151+G21*G151</f>
        <v/>
      </c>
      <c r="H153" s="29">
        <f>H17*1000*H19*H151*0.9+H17*H18*0.9*H20*H151+H21*H151</f>
        <v/>
      </c>
      <c r="I153" s="29">
        <f>I17*1000*I19*I151*0.9+I17*I18*0.9*I20*I151+I21*I151</f>
        <v/>
      </c>
      <c r="J153" s="29">
        <f>J17*1000*J19*J151*0.9+J17*J18*0.9*J20*J151+J21*J151</f>
        <v/>
      </c>
      <c r="K153" s="29">
        <f>K17*1000*K19*K151*0.9+K17*K18*0.9*K20*K151+K21*K151</f>
        <v/>
      </c>
      <c r="L153" s="29">
        <f>L17*1000*L19*L151*0.9+L17*L18*0.9*L20*L151+L21*L151</f>
        <v/>
      </c>
    </row>
    <row r="154">
      <c r="B154" t="inlineStr">
        <is>
          <t>NDPI</t>
        </is>
      </c>
      <c r="D154" s="29">
        <f>D152*D13</f>
        <v/>
      </c>
      <c r="E154" s="29">
        <f>E152*E13</f>
        <v/>
      </c>
      <c r="F154" s="29">
        <f>F152*F13</f>
        <v/>
      </c>
      <c r="G154" s="29">
        <f>G152*G13</f>
        <v/>
      </c>
      <c r="H154" s="29">
        <f>H152*H13</f>
        <v/>
      </c>
      <c r="I154" s="29">
        <f>I152*I13</f>
        <v/>
      </c>
      <c r="J154" s="29">
        <f>J152*J13</f>
        <v/>
      </c>
      <c r="K154" s="29">
        <f>K152*K13</f>
        <v/>
      </c>
      <c r="L154" s="29">
        <f>L152*L13</f>
        <v/>
      </c>
    </row>
    <row r="155">
      <c r="B155" t="inlineStr">
        <is>
          <t>EBIT</t>
        </is>
      </c>
      <c r="D155" s="29">
        <f>D152-D153-D154</f>
        <v/>
      </c>
      <c r="E155" s="29">
        <f>E152-E153-E154</f>
        <v/>
      </c>
      <c r="F155" s="29">
        <f>F152-F153-F154</f>
        <v/>
      </c>
      <c r="G155" s="29">
        <f>G152-G153-G154</f>
        <v/>
      </c>
      <c r="H155" s="29">
        <f>H152-H153-H154</f>
        <v/>
      </c>
      <c r="I155" s="29">
        <f>I152-I153-I154</f>
        <v/>
      </c>
      <c r="J155" s="29">
        <f>J152-J153-J154</f>
        <v/>
      </c>
      <c r="K155" s="29">
        <f>K152-K153-K154</f>
        <v/>
      </c>
      <c r="L155" s="29">
        <f>L152-L153-L154</f>
        <v/>
      </c>
    </row>
    <row r="156">
      <c r="B156" t="inlineStr">
        <is>
          <t>AR</t>
        </is>
      </c>
      <c r="D156" s="29">
        <f>D152*D22/365</f>
        <v/>
      </c>
      <c r="E156" s="29">
        <f>E152*E22/365</f>
        <v/>
      </c>
      <c r="F156" s="29">
        <f>F152*F22/365</f>
        <v/>
      </c>
      <c r="G156" s="29">
        <f>G152*G22/365</f>
        <v/>
      </c>
      <c r="H156" s="29">
        <f>H152*H22/365</f>
        <v/>
      </c>
      <c r="I156" s="29">
        <f>I152*I22/365</f>
        <v/>
      </c>
      <c r="J156" s="29">
        <f>J152*J22/365</f>
        <v/>
      </c>
      <c r="K156" s="29">
        <f>K152*K22/365</f>
        <v/>
      </c>
      <c r="L156" s="29">
        <f>L152*L22/365</f>
        <v/>
      </c>
    </row>
    <row r="157">
      <c r="B157" t="inlineStr">
        <is>
          <t>AP</t>
        </is>
      </c>
      <c r="D157" s="29">
        <f>D153*D23/365</f>
        <v/>
      </c>
      <c r="E157" s="29">
        <f>E153*E23/365</f>
        <v/>
      </c>
      <c r="F157" s="29">
        <f>F153*F23/365</f>
        <v/>
      </c>
      <c r="G157" s="29">
        <f>G153*G23/365</f>
        <v/>
      </c>
      <c r="H157" s="29">
        <f>H153*H23/365</f>
        <v/>
      </c>
      <c r="I157" s="29">
        <f>I153*I23/365</f>
        <v/>
      </c>
      <c r="J157" s="29">
        <f>J153*J23/365</f>
        <v/>
      </c>
      <c r="K157" s="29">
        <f>K153*K23/365</f>
        <v/>
      </c>
      <c r="L157" s="29">
        <f>L153*L23/365</f>
        <v/>
      </c>
    </row>
    <row r="158">
      <c r="B158" t="inlineStr">
        <is>
          <t>dAR</t>
        </is>
      </c>
      <c r="D158" s="29">
        <f>D156-N(C156)</f>
        <v/>
      </c>
      <c r="E158" s="29">
        <f>E156-N(D156)</f>
        <v/>
      </c>
      <c r="F158" s="29">
        <f>F156-N(E156)</f>
        <v/>
      </c>
      <c r="G158" s="29">
        <f>G156-N(F156)</f>
        <v/>
      </c>
      <c r="H158" s="29">
        <f>H156-N(G156)</f>
        <v/>
      </c>
      <c r="I158" s="29">
        <f>I156-N(H156)</f>
        <v/>
      </c>
      <c r="J158" s="29">
        <f>J156-N(I156)</f>
        <v/>
      </c>
      <c r="K158" s="29">
        <f>K156-N(J156)</f>
        <v/>
      </c>
      <c r="L158" s="29">
        <f>L156-N(K156)</f>
        <v/>
      </c>
    </row>
    <row r="159">
      <c r="B159" t="inlineStr">
        <is>
          <t>dAP</t>
        </is>
      </c>
      <c r="D159" s="29">
        <f>D157-N(C157)</f>
        <v/>
      </c>
      <c r="E159" s="29">
        <f>E157-N(D157)</f>
        <v/>
      </c>
      <c r="F159" s="29">
        <f>F157-N(E157)</f>
        <v/>
      </c>
      <c r="G159" s="29">
        <f>G157-N(F157)</f>
        <v/>
      </c>
      <c r="H159" s="29">
        <f>H157-N(G157)</f>
        <v/>
      </c>
      <c r="I159" s="29">
        <f>I157-N(H157)</f>
        <v/>
      </c>
      <c r="J159" s="29">
        <f>J157-N(I157)</f>
        <v/>
      </c>
      <c r="K159" s="29">
        <f>K157-N(J157)</f>
        <v/>
      </c>
      <c r="L159" s="29">
        <f>L157-N(K157)</f>
        <v/>
      </c>
    </row>
    <row r="160">
      <c r="B160" t="inlineStr">
        <is>
          <t>CFO</t>
        </is>
      </c>
      <c r="D160" s="29">
        <f>D155-D158+D159</f>
        <v/>
      </c>
      <c r="E160" s="29">
        <f>E155-E158+E159</f>
        <v/>
      </c>
      <c r="F160" s="29">
        <f>F155-F158+F159</f>
        <v/>
      </c>
      <c r="G160" s="29">
        <f>G155-G158+G159</f>
        <v/>
      </c>
      <c r="H160" s="29">
        <f>H155-H158+H159</f>
        <v/>
      </c>
      <c r="I160" s="29">
        <f>I155-I158+I159</f>
        <v/>
      </c>
      <c r="J160" s="29">
        <f>J155-J158+J159</f>
        <v/>
      </c>
      <c r="K160" s="29">
        <f>K155-K158+K159</f>
        <v/>
      </c>
      <c r="L160" s="29">
        <f>L155-L158+L159</f>
        <v/>
      </c>
    </row>
    <row r="161">
      <c r="B161" t="inlineStr">
        <is>
          <t>CAPEX</t>
        </is>
      </c>
      <c r="D161" s="29">
        <f>D63</f>
        <v/>
      </c>
      <c r="E161" s="29">
        <f>E63</f>
        <v/>
      </c>
      <c r="F161" s="29">
        <f>F63</f>
        <v/>
      </c>
      <c r="G161" s="29">
        <f>G63</f>
        <v/>
      </c>
      <c r="H161" s="29">
        <f>H63</f>
        <v/>
      </c>
      <c r="I161" s="29">
        <f>I63</f>
        <v/>
      </c>
      <c r="J161" s="29">
        <f>J63</f>
        <v/>
      </c>
      <c r="K161" s="29">
        <f>K63</f>
        <v/>
      </c>
      <c r="L161" s="29">
        <f>L63</f>
        <v/>
      </c>
    </row>
    <row r="162">
      <c r="B162" t="inlineStr">
        <is>
          <t>Equity in</t>
        </is>
      </c>
      <c r="D162" s="29">
        <f>IF(D5=2022,1000000,0)</f>
        <v/>
      </c>
      <c r="E162" s="29">
        <f>IF(E5=2022,1000000,0)</f>
        <v/>
      </c>
      <c r="F162" s="29">
        <f>IF(F5=2022,1000000,0)</f>
        <v/>
      </c>
      <c r="G162" s="29">
        <f>IF(G5=2022,1000000,0)</f>
        <v/>
      </c>
      <c r="H162" s="29">
        <f>IF(H5=2022,1000000,0)</f>
        <v/>
      </c>
      <c r="I162" s="29">
        <f>IF(I5=2022,1000000,0)</f>
        <v/>
      </c>
      <c r="J162" s="29">
        <f>IF(J5=2022,1000000,0)</f>
        <v/>
      </c>
      <c r="K162" s="29">
        <f>IF(K5=2022,1000000,0)</f>
        <v/>
      </c>
      <c r="L162" s="29">
        <f>IF(L5=2022,1000000,0)</f>
        <v/>
      </c>
    </row>
    <row r="163">
      <c r="B163" t="inlineStr">
        <is>
          <t>Cash start</t>
        </is>
      </c>
      <c r="D163" s="29">
        <f>IF(D5=2022,0,C172)</f>
        <v/>
      </c>
      <c r="E163" s="29">
        <f>IF(E5=2022,0,D172)</f>
        <v/>
      </c>
      <c r="F163" s="29">
        <f>IF(F5=2022,0,E172)</f>
        <v/>
      </c>
      <c r="G163" s="29">
        <f>IF(G5=2022,0,F172)</f>
        <v/>
      </c>
      <c r="H163" s="29">
        <f>IF(H5=2022,0,G172)</f>
        <v/>
      </c>
      <c r="I163" s="29">
        <f>IF(I5=2022,0,H172)</f>
        <v/>
      </c>
      <c r="J163" s="29">
        <f>IF(J5=2022,0,I172)</f>
        <v/>
      </c>
      <c r="K163" s="29">
        <f>IF(K5=2022,0,J172)</f>
        <v/>
      </c>
      <c r="L163" s="29">
        <f>IF(L5=2022,0,K172)</f>
        <v/>
      </c>
    </row>
    <row r="164">
      <c r="B164" t="inlineStr">
        <is>
          <t>Debt start</t>
        </is>
      </c>
      <c r="D164" s="29">
        <f>IF(D5=2022,0,C166)</f>
        <v/>
      </c>
      <c r="E164" s="29">
        <f>IF(E5=2022,0,D166)</f>
        <v/>
      </c>
      <c r="F164" s="29">
        <f>IF(F5=2022,0,E166)</f>
        <v/>
      </c>
      <c r="G164" s="29">
        <f>IF(G5=2022,0,F166)</f>
        <v/>
      </c>
      <c r="H164" s="29">
        <f>IF(H5=2022,0,G166)</f>
        <v/>
      </c>
      <c r="I164" s="29">
        <f>IF(I5=2022,0,H166)</f>
        <v/>
      </c>
      <c r="J164" s="29">
        <f>IF(J5=2022,0,I166)</f>
        <v/>
      </c>
      <c r="K164" s="29">
        <f>IF(K5=2022,0,J166)</f>
        <v/>
      </c>
      <c r="L164" s="29">
        <f>IF(L5=2022,0,K166)</f>
        <v/>
      </c>
    </row>
    <row r="165">
      <c r="B165" t="inlineStr">
        <is>
          <t>Pre-debt cash</t>
        </is>
      </c>
      <c r="D165" s="29">
        <f>D163+D160-D161+D162</f>
        <v/>
      </c>
      <c r="E165" s="29">
        <f>E163+E160-E161+E162</f>
        <v/>
      </c>
      <c r="F165" s="29">
        <f>F163+F160-F161+F162</f>
        <v/>
      </c>
      <c r="G165" s="29">
        <f>G163+G160-G161+G162</f>
        <v/>
      </c>
      <c r="H165" s="29">
        <f>H163+H160-H161+H162</f>
        <v/>
      </c>
      <c r="I165" s="29">
        <f>I163+I160-I161+I162</f>
        <v/>
      </c>
      <c r="J165" s="29">
        <f>J163+J160-J161+J162</f>
        <v/>
      </c>
      <c r="K165" s="29">
        <f>K163+K160-K161+K162</f>
        <v/>
      </c>
      <c r="L165" s="29">
        <f>L163+L160-L161+L162</f>
        <v/>
      </c>
    </row>
    <row r="166">
      <c r="B166" t="inlineStr">
        <is>
          <t>Debt end</t>
        </is>
      </c>
      <c r="D166" s="29">
        <f>IF(D165&gt;=D164,0,(D164-D165)/(1-D14))</f>
        <v/>
      </c>
      <c r="E166" s="29">
        <f>IF(E165&gt;=E164,0,(E164-E165)/(1-E14))</f>
        <v/>
      </c>
      <c r="F166" s="29">
        <f>IF(F165&gt;=F164,0,(F164-F165)/(1-F14))</f>
        <v/>
      </c>
      <c r="G166" s="29">
        <f>IF(G165&gt;=G164,0,(G164-G165)/(1-G14))</f>
        <v/>
      </c>
      <c r="H166" s="29">
        <f>IF(H165&gt;=H164,0,(H164-H165)/(1-H14))</f>
        <v/>
      </c>
      <c r="I166" s="29">
        <f>IF(I165&gt;=I164,0,(I164-I165)/(1-I14))</f>
        <v/>
      </c>
      <c r="J166" s="29">
        <f>IF(J165&gt;=J164,0,(J164-J165)/(1-J14))</f>
        <v/>
      </c>
      <c r="K166" s="29">
        <f>IF(K165&gt;=K164,0,(K164-K165)/(1-K14))</f>
        <v/>
      </c>
      <c r="L166" s="29">
        <f>IF(L165&gt;=L164,0,(L164-L165)/(1-L14))</f>
        <v/>
      </c>
    </row>
    <row r="167">
      <c r="B167" t="inlineStr">
        <is>
          <t>Interest</t>
        </is>
      </c>
      <c r="D167" s="29">
        <f>D166*D14</f>
        <v/>
      </c>
      <c r="E167" s="29">
        <f>E166*E14</f>
        <v/>
      </c>
      <c r="F167" s="29">
        <f>F166*F14</f>
        <v/>
      </c>
      <c r="G167" s="29">
        <f>G166*G14</f>
        <v/>
      </c>
      <c r="H167" s="29">
        <f>H166*H14</f>
        <v/>
      </c>
      <c r="I167" s="29">
        <f>I166*I14</f>
        <v/>
      </c>
      <c r="J167" s="29">
        <f>J166*J14</f>
        <v/>
      </c>
      <c r="K167" s="29">
        <f>K166*K14</f>
        <v/>
      </c>
      <c r="L167" s="29">
        <f>L166*L14</f>
        <v/>
      </c>
    </row>
    <row r="168">
      <c r="B168" t="inlineStr">
        <is>
          <t>Debt draw</t>
        </is>
      </c>
      <c r="D168" s="29">
        <f>MAX(0,D166-D164)</f>
        <v/>
      </c>
      <c r="E168" s="29">
        <f>MAX(0,E166-E164)</f>
        <v/>
      </c>
      <c r="F168" s="29">
        <f>MAX(0,F166-F164)</f>
        <v/>
      </c>
      <c r="G168" s="29">
        <f>MAX(0,G166-G164)</f>
        <v/>
      </c>
      <c r="H168" s="29">
        <f>MAX(0,H166-H164)</f>
        <v/>
      </c>
      <c r="I168" s="29">
        <f>MAX(0,I166-I164)</f>
        <v/>
      </c>
      <c r="J168" s="29">
        <f>MAX(0,J166-J164)</f>
        <v/>
      </c>
      <c r="K168" s="29">
        <f>MAX(0,K166-K164)</f>
        <v/>
      </c>
      <c r="L168" s="29">
        <f>MAX(0,L166-L164)</f>
        <v/>
      </c>
    </row>
    <row r="169">
      <c r="B169" t="inlineStr">
        <is>
          <t>Debt repay</t>
        </is>
      </c>
      <c r="D169" s="29">
        <f>MAX(0,D164-D166)</f>
        <v/>
      </c>
      <c r="E169" s="29">
        <f>MAX(0,E164-E166)</f>
        <v/>
      </c>
      <c r="F169" s="29">
        <f>MAX(0,F164-F166)</f>
        <v/>
      </c>
      <c r="G169" s="29">
        <f>MAX(0,G164-G166)</f>
        <v/>
      </c>
      <c r="H169" s="29">
        <f>MAX(0,H164-H166)</f>
        <v/>
      </c>
      <c r="I169" s="29">
        <f>MAX(0,I164-I166)</f>
        <v/>
      </c>
      <c r="J169" s="29">
        <f>MAX(0,J164-J166)</f>
        <v/>
      </c>
      <c r="K169" s="29">
        <f>MAX(0,K164-K166)</f>
        <v/>
      </c>
      <c r="L169" s="29">
        <f>MAX(0,L164-L166)</f>
        <v/>
      </c>
    </row>
    <row r="170">
      <c r="B170" t="inlineStr">
        <is>
          <t>Post-debt cash</t>
        </is>
      </c>
      <c r="D170" s="29">
        <f>MAX(0,D165-D164)</f>
        <v/>
      </c>
      <c r="E170" s="29">
        <f>MAX(0,E165-E164)</f>
        <v/>
      </c>
      <c r="F170" s="29">
        <f>MAX(0,F165-F164)</f>
        <v/>
      </c>
      <c r="G170" s="29">
        <f>MAX(0,G165-G164)</f>
        <v/>
      </c>
      <c r="H170" s="29">
        <f>MAX(0,H165-H164)</f>
        <v/>
      </c>
      <c r="I170" s="29">
        <f>MAX(0,I165-I164)</f>
        <v/>
      </c>
      <c r="J170" s="29">
        <f>MAX(0,J165-J164)</f>
        <v/>
      </c>
      <c r="K170" s="29">
        <f>MAX(0,K165-K164)</f>
        <v/>
      </c>
      <c r="L170" s="29">
        <f>MAX(0,L165-L164)</f>
        <v/>
      </c>
    </row>
    <row r="171">
      <c r="B171" t="inlineStr">
        <is>
          <t>Dividends</t>
        </is>
      </c>
      <c r="D171" s="29">
        <f>IF(D166&gt;0,0,MAX(0,(D170-100000)*0.5))</f>
        <v/>
      </c>
      <c r="E171" s="29">
        <f>IF(E166&gt;0,0,MAX(0,(E170-100000)*0.5))</f>
        <v/>
      </c>
      <c r="F171" s="29">
        <f>IF(F166&gt;0,0,MAX(0,(F170-100000)*0.5))</f>
        <v/>
      </c>
      <c r="G171" s="29">
        <f>IF(G166&gt;0,0,MAX(0,(G170-100000)*0.5))</f>
        <v/>
      </c>
      <c r="H171" s="29">
        <f>IF(H166&gt;0,0,MAX(0,(H170-100000)*0.5))</f>
        <v/>
      </c>
      <c r="I171" s="29">
        <f>IF(I166&gt;0,0,MAX(0,(I170-100000)*0.5))</f>
        <v/>
      </c>
      <c r="J171" s="29">
        <f>IF(J166&gt;0,0,MAX(0,(J170-100000)*0.5))</f>
        <v/>
      </c>
      <c r="K171" s="29">
        <f>IF(K166&gt;0,0,MAX(0,(K170-100000)*0.5))</f>
        <v/>
      </c>
      <c r="L171" s="29">
        <f>IF(L166&gt;0,0,MAX(0,(L170-100000)*0.5))</f>
        <v/>
      </c>
    </row>
    <row r="172">
      <c r="B172" t="inlineStr">
        <is>
          <t>Cash end</t>
        </is>
      </c>
      <c r="D172" s="29">
        <f>D165+D168-D169-D167-D171</f>
        <v/>
      </c>
      <c r="E172" s="29">
        <f>E165+E168-E169-E167-E171</f>
        <v/>
      </c>
      <c r="F172" s="29">
        <f>F165+F168-F169-F167-F171</f>
        <v/>
      </c>
      <c r="G172" s="29">
        <f>G165+G168-G169-G167-G171</f>
        <v/>
      </c>
      <c r="H172" s="29">
        <f>H165+H168-H169-H167-H171</f>
        <v/>
      </c>
      <c r="I172" s="29">
        <f>I165+I168-I169-I167-I171</f>
        <v/>
      </c>
      <c r="J172" s="29">
        <f>J165+J168-J169-J167-J171</f>
        <v/>
      </c>
      <c r="K172" s="29">
        <f>K165+K168-K169-K167-K171</f>
        <v/>
      </c>
      <c r="L172" s="29">
        <f>L165+L168-L169-L167-L171</f>
        <v/>
      </c>
    </row>
    <row r="173">
      <c r="B173" t="inlineStr">
        <is>
          <t>Equity CF</t>
        </is>
      </c>
      <c r="D173" s="29">
        <f>-D162+D171</f>
        <v/>
      </c>
      <c r="E173" s="29">
        <f>-E162+E171</f>
        <v/>
      </c>
      <c r="F173" s="29">
        <f>-F162+F171</f>
        <v/>
      </c>
      <c r="G173" s="29">
        <f>-G162+G171</f>
        <v/>
      </c>
      <c r="H173" s="29">
        <f>-H162+H171</f>
        <v/>
      </c>
      <c r="I173" s="29">
        <f>-I162+I171</f>
        <v/>
      </c>
      <c r="J173" s="29">
        <f>-J162+J171</f>
        <v/>
      </c>
      <c r="K173" s="29">
        <f>-K162+K171</f>
        <v/>
      </c>
      <c r="L173" s="29">
        <f>-L162+L171</f>
        <v/>
      </c>
    </row>
    <row r="174">
      <c r="B174" t="inlineStr">
        <is>
          <t>PV Equity CF</t>
        </is>
      </c>
      <c r="D174" s="29">
        <f>D173/(1+D12)^(D5-2022)</f>
        <v/>
      </c>
      <c r="E174" s="29">
        <f>E173/(1+E12)^(E5-2022)</f>
        <v/>
      </c>
      <c r="F174" s="29">
        <f>F173/(1+F12)^(F5-2022)</f>
        <v/>
      </c>
      <c r="G174" s="29">
        <f>G173/(1+G12)^(G5-2022)</f>
        <v/>
      </c>
      <c r="H174" s="29">
        <f>H173/(1+H12)^(H5-2022)</f>
        <v/>
      </c>
      <c r="I174" s="29">
        <f>I173/(1+I12)^(I5-2022)</f>
        <v/>
      </c>
      <c r="J174" s="29">
        <f>J173/(1+J12)^(J5-2022)</f>
        <v/>
      </c>
      <c r="K174" s="29">
        <f>K173/(1+K12)^(K5-2022)</f>
        <v/>
      </c>
      <c r="L174" s="29">
        <f>L173/(1+L12)^(L5-2022)</f>
        <v/>
      </c>
    </row>
    <row r="175">
      <c r="B175" t="inlineStr">
        <is>
          <t>NPV Equity</t>
        </is>
      </c>
      <c r="C175">
        <f>SUM(D174:L174)</f>
        <v/>
      </c>
    </row>
    <row r="177">
      <c r="B177" s="31" t="inlineStr">
        <is>
          <t>ENGINE S1 x SC2</t>
        </is>
      </c>
      <c r="C177" t="inlineStr">
        <is>
          <t>pm=1.0, vm=1.0, dCost=0.0, payout=0.5, reserve=100000</t>
        </is>
      </c>
    </row>
    <row r="178">
      <c r="B178" t="inlineStr">
        <is>
          <t>Cost cum adj</t>
        </is>
      </c>
      <c r="D178" s="29">
        <f>(1+D7+0.0)</f>
        <v/>
      </c>
      <c r="E178" s="29">
        <f>D178*(1+E7+0.0)</f>
        <v/>
      </c>
      <c r="F178" s="29">
        <f>E178*(1+F7+0.0)</f>
        <v/>
      </c>
      <c r="G178" s="29">
        <f>F178*(1+G7+0.0)</f>
        <v/>
      </c>
      <c r="H178" s="29">
        <f>G178*(1+H7+0.0)</f>
        <v/>
      </c>
      <c r="I178" s="29">
        <f>H178*(1+I7+0.0)</f>
        <v/>
      </c>
      <c r="J178" s="29">
        <f>I178*(1+J7+0.0)</f>
        <v/>
      </c>
      <c r="K178" s="29">
        <f>J178*(1+K7+0.0)</f>
        <v/>
      </c>
      <c r="L178" s="29">
        <f>K178*(1+L7+0.0)</f>
        <v/>
      </c>
    </row>
    <row r="179">
      <c r="B179" t="inlineStr">
        <is>
          <t>Revenue</t>
        </is>
      </c>
      <c r="D179" s="29">
        <f>D17*D18*1.0*D11*D10*1.0</f>
        <v/>
      </c>
      <c r="E179" s="29">
        <f>E17*E18*1.0*E11*E10*1.0</f>
        <v/>
      </c>
      <c r="F179" s="29">
        <f>F17*F18*1.0*F11*F10*1.0</f>
        <v/>
      </c>
      <c r="G179" s="29">
        <f>G17*G18*1.0*G11*G10*1.0</f>
        <v/>
      </c>
      <c r="H179" s="29">
        <f>H17*H18*1.0*H11*H10*1.0</f>
        <v/>
      </c>
      <c r="I179" s="29">
        <f>I17*I18*1.0*I11*I10*1.0</f>
        <v/>
      </c>
      <c r="J179" s="29">
        <f>J17*J18*1.0*J11*J10*1.0</f>
        <v/>
      </c>
      <c r="K179" s="29">
        <f>K17*K18*1.0*K11*K10*1.0</f>
        <v/>
      </c>
      <c r="L179" s="29">
        <f>L17*L18*1.0*L11*L10*1.0</f>
        <v/>
      </c>
    </row>
    <row r="180">
      <c r="B180" t="inlineStr">
        <is>
          <t>OPEX</t>
        </is>
      </c>
      <c r="D180" s="29">
        <f>D17*1000*D19*D178*1.0+D17*D18*1.0*D20*D178+D21*D178</f>
        <v/>
      </c>
      <c r="E180" s="29">
        <f>E17*1000*E19*E178*1.0+E17*E18*1.0*E20*E178+E21*E178</f>
        <v/>
      </c>
      <c r="F180" s="29">
        <f>F17*1000*F19*F178*1.0+F17*F18*1.0*F20*F178+F21*F178</f>
        <v/>
      </c>
      <c r="G180" s="29">
        <f>G17*1000*G19*G178*1.0+G17*G18*1.0*G20*G178+G21*G178</f>
        <v/>
      </c>
      <c r="H180" s="29">
        <f>H17*1000*H19*H178*1.0+H17*H18*1.0*H20*H178+H21*H178</f>
        <v/>
      </c>
      <c r="I180" s="29">
        <f>I17*1000*I19*I178*1.0+I17*I18*1.0*I20*I178+I21*I178</f>
        <v/>
      </c>
      <c r="J180" s="29">
        <f>J17*1000*J19*J178*1.0+J17*J18*1.0*J20*J178+J21*J178</f>
        <v/>
      </c>
      <c r="K180" s="29">
        <f>K17*1000*K19*K178*1.0+K17*K18*1.0*K20*K178+K21*K178</f>
        <v/>
      </c>
      <c r="L180" s="29">
        <f>L17*1000*L19*L178*1.0+L17*L18*1.0*L20*L178+L21*L178</f>
        <v/>
      </c>
    </row>
    <row r="181">
      <c r="B181" t="inlineStr">
        <is>
          <t>NDPI</t>
        </is>
      </c>
      <c r="D181" s="29">
        <f>D179*D13</f>
        <v/>
      </c>
      <c r="E181" s="29">
        <f>E179*E13</f>
        <v/>
      </c>
      <c r="F181" s="29">
        <f>F179*F13</f>
        <v/>
      </c>
      <c r="G181" s="29">
        <f>G179*G13</f>
        <v/>
      </c>
      <c r="H181" s="29">
        <f>H179*H13</f>
        <v/>
      </c>
      <c r="I181" s="29">
        <f>I179*I13</f>
        <v/>
      </c>
      <c r="J181" s="29">
        <f>J179*J13</f>
        <v/>
      </c>
      <c r="K181" s="29">
        <f>K179*K13</f>
        <v/>
      </c>
      <c r="L181" s="29">
        <f>L179*L13</f>
        <v/>
      </c>
    </row>
    <row r="182">
      <c r="B182" t="inlineStr">
        <is>
          <t>EBIT</t>
        </is>
      </c>
      <c r="D182" s="29">
        <f>D179-D180-D181</f>
        <v/>
      </c>
      <c r="E182" s="29">
        <f>E179-E180-E181</f>
        <v/>
      </c>
      <c r="F182" s="29">
        <f>F179-F180-F181</f>
        <v/>
      </c>
      <c r="G182" s="29">
        <f>G179-G180-G181</f>
        <v/>
      </c>
      <c r="H182" s="29">
        <f>H179-H180-H181</f>
        <v/>
      </c>
      <c r="I182" s="29">
        <f>I179-I180-I181</f>
        <v/>
      </c>
      <c r="J182" s="29">
        <f>J179-J180-J181</f>
        <v/>
      </c>
      <c r="K182" s="29">
        <f>K179-K180-K181</f>
        <v/>
      </c>
      <c r="L182" s="29">
        <f>L179-L180-L181</f>
        <v/>
      </c>
    </row>
    <row r="183">
      <c r="B183" t="inlineStr">
        <is>
          <t>AR</t>
        </is>
      </c>
      <c r="D183" s="29">
        <f>D179*D22/365</f>
        <v/>
      </c>
      <c r="E183" s="29">
        <f>E179*E22/365</f>
        <v/>
      </c>
      <c r="F183" s="29">
        <f>F179*F22/365</f>
        <v/>
      </c>
      <c r="G183" s="29">
        <f>G179*G22/365</f>
        <v/>
      </c>
      <c r="H183" s="29">
        <f>H179*H22/365</f>
        <v/>
      </c>
      <c r="I183" s="29">
        <f>I179*I22/365</f>
        <v/>
      </c>
      <c r="J183" s="29">
        <f>J179*J22/365</f>
        <v/>
      </c>
      <c r="K183" s="29">
        <f>K179*K22/365</f>
        <v/>
      </c>
      <c r="L183" s="29">
        <f>L179*L22/365</f>
        <v/>
      </c>
    </row>
    <row r="184">
      <c r="B184" t="inlineStr">
        <is>
          <t>AP</t>
        </is>
      </c>
      <c r="D184" s="29">
        <f>D180*D23/365</f>
        <v/>
      </c>
      <c r="E184" s="29">
        <f>E180*E23/365</f>
        <v/>
      </c>
      <c r="F184" s="29">
        <f>F180*F23/365</f>
        <v/>
      </c>
      <c r="G184" s="29">
        <f>G180*G23/365</f>
        <v/>
      </c>
      <c r="H184" s="29">
        <f>H180*H23/365</f>
        <v/>
      </c>
      <c r="I184" s="29">
        <f>I180*I23/365</f>
        <v/>
      </c>
      <c r="J184" s="29">
        <f>J180*J23/365</f>
        <v/>
      </c>
      <c r="K184" s="29">
        <f>K180*K23/365</f>
        <v/>
      </c>
      <c r="L184" s="29">
        <f>L180*L23/365</f>
        <v/>
      </c>
    </row>
    <row r="185">
      <c r="B185" t="inlineStr">
        <is>
          <t>dAR</t>
        </is>
      </c>
      <c r="D185" s="29">
        <f>D183-N(C183)</f>
        <v/>
      </c>
      <c r="E185" s="29">
        <f>E183-N(D183)</f>
        <v/>
      </c>
      <c r="F185" s="29">
        <f>F183-N(E183)</f>
        <v/>
      </c>
      <c r="G185" s="29">
        <f>G183-N(F183)</f>
        <v/>
      </c>
      <c r="H185" s="29">
        <f>H183-N(G183)</f>
        <v/>
      </c>
      <c r="I185" s="29">
        <f>I183-N(H183)</f>
        <v/>
      </c>
      <c r="J185" s="29">
        <f>J183-N(I183)</f>
        <v/>
      </c>
      <c r="K185" s="29">
        <f>K183-N(J183)</f>
        <v/>
      </c>
      <c r="L185" s="29">
        <f>L183-N(K183)</f>
        <v/>
      </c>
    </row>
    <row r="186">
      <c r="B186" t="inlineStr">
        <is>
          <t>dAP</t>
        </is>
      </c>
      <c r="D186" s="29">
        <f>D184-N(C184)</f>
        <v/>
      </c>
      <c r="E186" s="29">
        <f>E184-N(D184)</f>
        <v/>
      </c>
      <c r="F186" s="29">
        <f>F184-N(E184)</f>
        <v/>
      </c>
      <c r="G186" s="29">
        <f>G184-N(F184)</f>
        <v/>
      </c>
      <c r="H186" s="29">
        <f>H184-N(G184)</f>
        <v/>
      </c>
      <c r="I186" s="29">
        <f>I184-N(H184)</f>
        <v/>
      </c>
      <c r="J186" s="29">
        <f>J184-N(I184)</f>
        <v/>
      </c>
      <c r="K186" s="29">
        <f>K184-N(J184)</f>
        <v/>
      </c>
      <c r="L186" s="29">
        <f>L184-N(K184)</f>
        <v/>
      </c>
    </row>
    <row r="187">
      <c r="B187" t="inlineStr">
        <is>
          <t>CFO</t>
        </is>
      </c>
      <c r="D187" s="29">
        <f>D182-D185+D186</f>
        <v/>
      </c>
      <c r="E187" s="29">
        <f>E182-E185+E186</f>
        <v/>
      </c>
      <c r="F187" s="29">
        <f>F182-F185+F186</f>
        <v/>
      </c>
      <c r="G187" s="29">
        <f>G182-G185+G186</f>
        <v/>
      </c>
      <c r="H187" s="29">
        <f>H182-H185+H186</f>
        <v/>
      </c>
      <c r="I187" s="29">
        <f>I182-I185+I186</f>
        <v/>
      </c>
      <c r="J187" s="29">
        <f>J182-J185+J186</f>
        <v/>
      </c>
      <c r="K187" s="29">
        <f>K182-K185+K186</f>
        <v/>
      </c>
      <c r="L187" s="29">
        <f>L182-L185+L186</f>
        <v/>
      </c>
    </row>
    <row r="188">
      <c r="B188" t="inlineStr">
        <is>
          <t>CAPEX</t>
        </is>
      </c>
      <c r="D188" s="29">
        <f>D63</f>
        <v/>
      </c>
      <c r="E188" s="29">
        <f>E63</f>
        <v/>
      </c>
      <c r="F188" s="29">
        <f>F63</f>
        <v/>
      </c>
      <c r="G188" s="29">
        <f>G63</f>
        <v/>
      </c>
      <c r="H188" s="29">
        <f>H63</f>
        <v/>
      </c>
      <c r="I188" s="29">
        <f>I63</f>
        <v/>
      </c>
      <c r="J188" s="29">
        <f>J63</f>
        <v/>
      </c>
      <c r="K188" s="29">
        <f>K63</f>
        <v/>
      </c>
      <c r="L188" s="29">
        <f>L63</f>
        <v/>
      </c>
    </row>
    <row r="189">
      <c r="B189" t="inlineStr">
        <is>
          <t>Equity in</t>
        </is>
      </c>
      <c r="D189" s="29">
        <f>IF(D5=2022,1000000,0)</f>
        <v/>
      </c>
      <c r="E189" s="29">
        <f>IF(E5=2022,1000000,0)</f>
        <v/>
      </c>
      <c r="F189" s="29">
        <f>IF(F5=2022,1000000,0)</f>
        <v/>
      </c>
      <c r="G189" s="29">
        <f>IF(G5=2022,1000000,0)</f>
        <v/>
      </c>
      <c r="H189" s="29">
        <f>IF(H5=2022,1000000,0)</f>
        <v/>
      </c>
      <c r="I189" s="29">
        <f>IF(I5=2022,1000000,0)</f>
        <v/>
      </c>
      <c r="J189" s="29">
        <f>IF(J5=2022,1000000,0)</f>
        <v/>
      </c>
      <c r="K189" s="29">
        <f>IF(K5=2022,1000000,0)</f>
        <v/>
      </c>
      <c r="L189" s="29">
        <f>IF(L5=2022,1000000,0)</f>
        <v/>
      </c>
    </row>
    <row r="190">
      <c r="B190" t="inlineStr">
        <is>
          <t>Cash start</t>
        </is>
      </c>
      <c r="D190" s="29">
        <f>IF(D5=2022,0,C199)</f>
        <v/>
      </c>
      <c r="E190" s="29">
        <f>IF(E5=2022,0,D199)</f>
        <v/>
      </c>
      <c r="F190" s="29">
        <f>IF(F5=2022,0,E199)</f>
        <v/>
      </c>
      <c r="G190" s="29">
        <f>IF(G5=2022,0,F199)</f>
        <v/>
      </c>
      <c r="H190" s="29">
        <f>IF(H5=2022,0,G199)</f>
        <v/>
      </c>
      <c r="I190" s="29">
        <f>IF(I5=2022,0,H199)</f>
        <v/>
      </c>
      <c r="J190" s="29">
        <f>IF(J5=2022,0,I199)</f>
        <v/>
      </c>
      <c r="K190" s="29">
        <f>IF(K5=2022,0,J199)</f>
        <v/>
      </c>
      <c r="L190" s="29">
        <f>IF(L5=2022,0,K199)</f>
        <v/>
      </c>
    </row>
    <row r="191">
      <c r="B191" t="inlineStr">
        <is>
          <t>Debt start</t>
        </is>
      </c>
      <c r="D191" s="29">
        <f>IF(D5=2022,0,C193)</f>
        <v/>
      </c>
      <c r="E191" s="29">
        <f>IF(E5=2022,0,D193)</f>
        <v/>
      </c>
      <c r="F191" s="29">
        <f>IF(F5=2022,0,E193)</f>
        <v/>
      </c>
      <c r="G191" s="29">
        <f>IF(G5=2022,0,F193)</f>
        <v/>
      </c>
      <c r="H191" s="29">
        <f>IF(H5=2022,0,G193)</f>
        <v/>
      </c>
      <c r="I191" s="29">
        <f>IF(I5=2022,0,H193)</f>
        <v/>
      </c>
      <c r="J191" s="29">
        <f>IF(J5=2022,0,I193)</f>
        <v/>
      </c>
      <c r="K191" s="29">
        <f>IF(K5=2022,0,J193)</f>
        <v/>
      </c>
      <c r="L191" s="29">
        <f>IF(L5=2022,0,K193)</f>
        <v/>
      </c>
    </row>
    <row r="192">
      <c r="B192" t="inlineStr">
        <is>
          <t>Pre-debt cash</t>
        </is>
      </c>
      <c r="D192" s="29">
        <f>D190+D187-D188+D189</f>
        <v/>
      </c>
      <c r="E192" s="29">
        <f>E190+E187-E188+E189</f>
        <v/>
      </c>
      <c r="F192" s="29">
        <f>F190+F187-F188+F189</f>
        <v/>
      </c>
      <c r="G192" s="29">
        <f>G190+G187-G188+G189</f>
        <v/>
      </c>
      <c r="H192" s="29">
        <f>H190+H187-H188+H189</f>
        <v/>
      </c>
      <c r="I192" s="29">
        <f>I190+I187-I188+I189</f>
        <v/>
      </c>
      <c r="J192" s="29">
        <f>J190+J187-J188+J189</f>
        <v/>
      </c>
      <c r="K192" s="29">
        <f>K190+K187-K188+K189</f>
        <v/>
      </c>
      <c r="L192" s="29">
        <f>L190+L187-L188+L189</f>
        <v/>
      </c>
    </row>
    <row r="193">
      <c r="B193" t="inlineStr">
        <is>
          <t>Debt end</t>
        </is>
      </c>
      <c r="D193" s="29">
        <f>IF(D192&gt;=D191,0,(D191-D192)/(1-D14))</f>
        <v/>
      </c>
      <c r="E193" s="29">
        <f>IF(E192&gt;=E191,0,(E191-E192)/(1-E14))</f>
        <v/>
      </c>
      <c r="F193" s="29">
        <f>IF(F192&gt;=F191,0,(F191-F192)/(1-F14))</f>
        <v/>
      </c>
      <c r="G193" s="29">
        <f>IF(G192&gt;=G191,0,(G191-G192)/(1-G14))</f>
        <v/>
      </c>
      <c r="H193" s="29">
        <f>IF(H192&gt;=H191,0,(H191-H192)/(1-H14))</f>
        <v/>
      </c>
      <c r="I193" s="29">
        <f>IF(I192&gt;=I191,0,(I191-I192)/(1-I14))</f>
        <v/>
      </c>
      <c r="J193" s="29">
        <f>IF(J192&gt;=J191,0,(J191-J192)/(1-J14))</f>
        <v/>
      </c>
      <c r="K193" s="29">
        <f>IF(K192&gt;=K191,0,(K191-K192)/(1-K14))</f>
        <v/>
      </c>
      <c r="L193" s="29">
        <f>IF(L192&gt;=L191,0,(L191-L192)/(1-L14))</f>
        <v/>
      </c>
    </row>
    <row r="194">
      <c r="B194" t="inlineStr">
        <is>
          <t>Interest</t>
        </is>
      </c>
      <c r="D194" s="29">
        <f>D193*D14</f>
        <v/>
      </c>
      <c r="E194" s="29">
        <f>E193*E14</f>
        <v/>
      </c>
      <c r="F194" s="29">
        <f>F193*F14</f>
        <v/>
      </c>
      <c r="G194" s="29">
        <f>G193*G14</f>
        <v/>
      </c>
      <c r="H194" s="29">
        <f>H193*H14</f>
        <v/>
      </c>
      <c r="I194" s="29">
        <f>I193*I14</f>
        <v/>
      </c>
      <c r="J194" s="29">
        <f>J193*J14</f>
        <v/>
      </c>
      <c r="K194" s="29">
        <f>K193*K14</f>
        <v/>
      </c>
      <c r="L194" s="29">
        <f>L193*L14</f>
        <v/>
      </c>
    </row>
    <row r="195">
      <c r="B195" t="inlineStr">
        <is>
          <t>Debt draw</t>
        </is>
      </c>
      <c r="D195" s="29">
        <f>MAX(0,D193-D191)</f>
        <v/>
      </c>
      <c r="E195" s="29">
        <f>MAX(0,E193-E191)</f>
        <v/>
      </c>
      <c r="F195" s="29">
        <f>MAX(0,F193-F191)</f>
        <v/>
      </c>
      <c r="G195" s="29">
        <f>MAX(0,G193-G191)</f>
        <v/>
      </c>
      <c r="H195" s="29">
        <f>MAX(0,H193-H191)</f>
        <v/>
      </c>
      <c r="I195" s="29">
        <f>MAX(0,I193-I191)</f>
        <v/>
      </c>
      <c r="J195" s="29">
        <f>MAX(0,J193-J191)</f>
        <v/>
      </c>
      <c r="K195" s="29">
        <f>MAX(0,K193-K191)</f>
        <v/>
      </c>
      <c r="L195" s="29">
        <f>MAX(0,L193-L191)</f>
        <v/>
      </c>
    </row>
    <row r="196">
      <c r="B196" t="inlineStr">
        <is>
          <t>Debt repay</t>
        </is>
      </c>
      <c r="D196" s="29">
        <f>MAX(0,D191-D193)</f>
        <v/>
      </c>
      <c r="E196" s="29">
        <f>MAX(0,E191-E193)</f>
        <v/>
      </c>
      <c r="F196" s="29">
        <f>MAX(0,F191-F193)</f>
        <v/>
      </c>
      <c r="G196" s="29">
        <f>MAX(0,G191-G193)</f>
        <v/>
      </c>
      <c r="H196" s="29">
        <f>MAX(0,H191-H193)</f>
        <v/>
      </c>
      <c r="I196" s="29">
        <f>MAX(0,I191-I193)</f>
        <v/>
      </c>
      <c r="J196" s="29">
        <f>MAX(0,J191-J193)</f>
        <v/>
      </c>
      <c r="K196" s="29">
        <f>MAX(0,K191-K193)</f>
        <v/>
      </c>
      <c r="L196" s="29">
        <f>MAX(0,L191-L193)</f>
        <v/>
      </c>
    </row>
    <row r="197">
      <c r="B197" t="inlineStr">
        <is>
          <t>Post-debt cash</t>
        </is>
      </c>
      <c r="D197" s="29">
        <f>MAX(0,D192-D191)</f>
        <v/>
      </c>
      <c r="E197" s="29">
        <f>MAX(0,E192-E191)</f>
        <v/>
      </c>
      <c r="F197" s="29">
        <f>MAX(0,F192-F191)</f>
        <v/>
      </c>
      <c r="G197" s="29">
        <f>MAX(0,G192-G191)</f>
        <v/>
      </c>
      <c r="H197" s="29">
        <f>MAX(0,H192-H191)</f>
        <v/>
      </c>
      <c r="I197" s="29">
        <f>MAX(0,I192-I191)</f>
        <v/>
      </c>
      <c r="J197" s="29">
        <f>MAX(0,J192-J191)</f>
        <v/>
      </c>
      <c r="K197" s="29">
        <f>MAX(0,K192-K191)</f>
        <v/>
      </c>
      <c r="L197" s="29">
        <f>MAX(0,L192-L191)</f>
        <v/>
      </c>
    </row>
    <row r="198">
      <c r="B198" t="inlineStr">
        <is>
          <t>Dividends</t>
        </is>
      </c>
      <c r="D198" s="29">
        <f>IF(D193&gt;0,0,MAX(0,(D197-100000)*0.5))</f>
        <v/>
      </c>
      <c r="E198" s="29">
        <f>IF(E193&gt;0,0,MAX(0,(E197-100000)*0.5))</f>
        <v/>
      </c>
      <c r="F198" s="29">
        <f>IF(F193&gt;0,0,MAX(0,(F197-100000)*0.5))</f>
        <v/>
      </c>
      <c r="G198" s="29">
        <f>IF(G193&gt;0,0,MAX(0,(G197-100000)*0.5))</f>
        <v/>
      </c>
      <c r="H198" s="29">
        <f>IF(H193&gt;0,0,MAX(0,(H197-100000)*0.5))</f>
        <v/>
      </c>
      <c r="I198" s="29">
        <f>IF(I193&gt;0,0,MAX(0,(I197-100000)*0.5))</f>
        <v/>
      </c>
      <c r="J198" s="29">
        <f>IF(J193&gt;0,0,MAX(0,(J197-100000)*0.5))</f>
        <v/>
      </c>
      <c r="K198" s="29">
        <f>IF(K193&gt;0,0,MAX(0,(K197-100000)*0.5))</f>
        <v/>
      </c>
      <c r="L198" s="29">
        <f>IF(L193&gt;0,0,MAX(0,(L197-100000)*0.5))</f>
        <v/>
      </c>
    </row>
    <row r="199">
      <c r="B199" t="inlineStr">
        <is>
          <t>Cash end</t>
        </is>
      </c>
      <c r="D199" s="29">
        <f>D192+D195-D196-D194-D198</f>
        <v/>
      </c>
      <c r="E199" s="29">
        <f>E192+E195-E196-E194-E198</f>
        <v/>
      </c>
      <c r="F199" s="29">
        <f>F192+F195-F196-F194-F198</f>
        <v/>
      </c>
      <c r="G199" s="29">
        <f>G192+G195-G196-G194-G198</f>
        <v/>
      </c>
      <c r="H199" s="29">
        <f>H192+H195-H196-H194-H198</f>
        <v/>
      </c>
      <c r="I199" s="29">
        <f>I192+I195-I196-I194-I198</f>
        <v/>
      </c>
      <c r="J199" s="29">
        <f>J192+J195-J196-J194-J198</f>
        <v/>
      </c>
      <c r="K199" s="29">
        <f>K192+K195-K196-K194-K198</f>
        <v/>
      </c>
      <c r="L199" s="29">
        <f>L192+L195-L196-L194-L198</f>
        <v/>
      </c>
    </row>
    <row r="200">
      <c r="B200" t="inlineStr">
        <is>
          <t>Equity CF</t>
        </is>
      </c>
      <c r="D200" s="29">
        <f>-D189+D198</f>
        <v/>
      </c>
      <c r="E200" s="29">
        <f>-E189+E198</f>
        <v/>
      </c>
      <c r="F200" s="29">
        <f>-F189+F198</f>
        <v/>
      </c>
      <c r="G200" s="29">
        <f>-G189+G198</f>
        <v/>
      </c>
      <c r="H200" s="29">
        <f>-H189+H198</f>
        <v/>
      </c>
      <c r="I200" s="29">
        <f>-I189+I198</f>
        <v/>
      </c>
      <c r="J200" s="29">
        <f>-J189+J198</f>
        <v/>
      </c>
      <c r="K200" s="29">
        <f>-K189+K198</f>
        <v/>
      </c>
      <c r="L200" s="29">
        <f>-L189+L198</f>
        <v/>
      </c>
    </row>
    <row r="201">
      <c r="B201" t="inlineStr">
        <is>
          <t>PV Equity CF</t>
        </is>
      </c>
      <c r="D201" s="29">
        <f>D200/(1+D12)^(D5-2022)</f>
        <v/>
      </c>
      <c r="E201" s="29">
        <f>E200/(1+E12)^(E5-2022)</f>
        <v/>
      </c>
      <c r="F201" s="29">
        <f>F200/(1+F12)^(F5-2022)</f>
        <v/>
      </c>
      <c r="G201" s="29">
        <f>G200/(1+G12)^(G5-2022)</f>
        <v/>
      </c>
      <c r="H201" s="29">
        <f>H200/(1+H12)^(H5-2022)</f>
        <v/>
      </c>
      <c r="I201" s="29">
        <f>I200/(1+I12)^(I5-2022)</f>
        <v/>
      </c>
      <c r="J201" s="29">
        <f>J200/(1+J12)^(J5-2022)</f>
        <v/>
      </c>
      <c r="K201" s="29">
        <f>K200/(1+K12)^(K5-2022)</f>
        <v/>
      </c>
      <c r="L201" s="29">
        <f>L200/(1+L12)^(L5-2022)</f>
        <v/>
      </c>
    </row>
    <row r="202">
      <c r="B202" t="inlineStr">
        <is>
          <t>NPV Equity</t>
        </is>
      </c>
      <c r="C202">
        <f>SUM(D201:L201)</f>
        <v/>
      </c>
    </row>
    <row r="204">
      <c r="B204" s="31" t="inlineStr">
        <is>
          <t>ENGINE S1 x SC3</t>
        </is>
      </c>
      <c r="C204" t="inlineStr">
        <is>
          <t>pm=1.15, vm=1.05, dCost=-0.02, payout=0.5, reserve=100000</t>
        </is>
      </c>
    </row>
    <row r="205">
      <c r="B205" t="inlineStr">
        <is>
          <t>Cost cum adj</t>
        </is>
      </c>
      <c r="D205" s="29">
        <f>(1+D7+-0.02)</f>
        <v/>
      </c>
      <c r="E205" s="29">
        <f>D205*(1+E7+-0.02)</f>
        <v/>
      </c>
      <c r="F205" s="29">
        <f>E205*(1+F7+-0.02)</f>
        <v/>
      </c>
      <c r="G205" s="29">
        <f>F205*(1+G7+-0.02)</f>
        <v/>
      </c>
      <c r="H205" s="29">
        <f>G205*(1+H7+-0.02)</f>
        <v/>
      </c>
      <c r="I205" s="29">
        <f>H205*(1+I7+-0.02)</f>
        <v/>
      </c>
      <c r="J205" s="29">
        <f>I205*(1+J7+-0.02)</f>
        <v/>
      </c>
      <c r="K205" s="29">
        <f>J205*(1+K7+-0.02)</f>
        <v/>
      </c>
      <c r="L205" s="29">
        <f>K205*(1+L7+-0.02)</f>
        <v/>
      </c>
    </row>
    <row r="206">
      <c r="B206" t="inlineStr">
        <is>
          <t>Revenue</t>
        </is>
      </c>
      <c r="D206" s="29">
        <f>D17*D18*1.05*D11*D10*1.15</f>
        <v/>
      </c>
      <c r="E206" s="29">
        <f>E17*E18*1.05*E11*E10*1.15</f>
        <v/>
      </c>
      <c r="F206" s="29">
        <f>F17*F18*1.05*F11*F10*1.15</f>
        <v/>
      </c>
      <c r="G206" s="29">
        <f>G17*G18*1.05*G11*G10*1.15</f>
        <v/>
      </c>
      <c r="H206" s="29">
        <f>H17*H18*1.05*H11*H10*1.15</f>
        <v/>
      </c>
      <c r="I206" s="29">
        <f>I17*I18*1.05*I11*I10*1.15</f>
        <v/>
      </c>
      <c r="J206" s="29">
        <f>J17*J18*1.05*J11*J10*1.15</f>
        <v/>
      </c>
      <c r="K206" s="29">
        <f>K17*K18*1.05*K11*K10*1.15</f>
        <v/>
      </c>
      <c r="L206" s="29">
        <f>L17*L18*1.05*L11*L10*1.15</f>
        <v/>
      </c>
    </row>
    <row r="207">
      <c r="B207" t="inlineStr">
        <is>
          <t>OPEX</t>
        </is>
      </c>
      <c r="D207" s="29">
        <f>D17*1000*D19*D205*1.05+D17*D18*1.05*D20*D205+D21*D205</f>
        <v/>
      </c>
      <c r="E207" s="29">
        <f>E17*1000*E19*E205*1.05+E17*E18*1.05*E20*E205+E21*E205</f>
        <v/>
      </c>
      <c r="F207" s="29">
        <f>F17*1000*F19*F205*1.05+F17*F18*1.05*F20*F205+F21*F205</f>
        <v/>
      </c>
      <c r="G207" s="29">
        <f>G17*1000*G19*G205*1.05+G17*G18*1.05*G20*G205+G21*G205</f>
        <v/>
      </c>
      <c r="H207" s="29">
        <f>H17*1000*H19*H205*1.05+H17*H18*1.05*H20*H205+H21*H205</f>
        <v/>
      </c>
      <c r="I207" s="29">
        <f>I17*1000*I19*I205*1.05+I17*I18*1.05*I20*I205+I21*I205</f>
        <v/>
      </c>
      <c r="J207" s="29">
        <f>J17*1000*J19*J205*1.05+J17*J18*1.05*J20*J205+J21*J205</f>
        <v/>
      </c>
      <c r="K207" s="29">
        <f>K17*1000*K19*K205*1.05+K17*K18*1.05*K20*K205+K21*K205</f>
        <v/>
      </c>
      <c r="L207" s="29">
        <f>L17*1000*L19*L205*1.05+L17*L18*1.05*L20*L205+L21*L205</f>
        <v/>
      </c>
    </row>
    <row r="208">
      <c r="B208" t="inlineStr">
        <is>
          <t>NDPI</t>
        </is>
      </c>
      <c r="D208" s="29">
        <f>D206*D13</f>
        <v/>
      </c>
      <c r="E208" s="29">
        <f>E206*E13</f>
        <v/>
      </c>
      <c r="F208" s="29">
        <f>F206*F13</f>
        <v/>
      </c>
      <c r="G208" s="29">
        <f>G206*G13</f>
        <v/>
      </c>
      <c r="H208" s="29">
        <f>H206*H13</f>
        <v/>
      </c>
      <c r="I208" s="29">
        <f>I206*I13</f>
        <v/>
      </c>
      <c r="J208" s="29">
        <f>J206*J13</f>
        <v/>
      </c>
      <c r="K208" s="29">
        <f>K206*K13</f>
        <v/>
      </c>
      <c r="L208" s="29">
        <f>L206*L13</f>
        <v/>
      </c>
    </row>
    <row r="209">
      <c r="B209" t="inlineStr">
        <is>
          <t>EBIT</t>
        </is>
      </c>
      <c r="D209" s="29">
        <f>D206-D207-D208</f>
        <v/>
      </c>
      <c r="E209" s="29">
        <f>E206-E207-E208</f>
        <v/>
      </c>
      <c r="F209" s="29">
        <f>F206-F207-F208</f>
        <v/>
      </c>
      <c r="G209" s="29">
        <f>G206-G207-G208</f>
        <v/>
      </c>
      <c r="H209" s="29">
        <f>H206-H207-H208</f>
        <v/>
      </c>
      <c r="I209" s="29">
        <f>I206-I207-I208</f>
        <v/>
      </c>
      <c r="J209" s="29">
        <f>J206-J207-J208</f>
        <v/>
      </c>
      <c r="K209" s="29">
        <f>K206-K207-K208</f>
        <v/>
      </c>
      <c r="L209" s="29">
        <f>L206-L207-L208</f>
        <v/>
      </c>
    </row>
    <row r="210">
      <c r="B210" t="inlineStr">
        <is>
          <t>AR</t>
        </is>
      </c>
      <c r="D210" s="29">
        <f>D206*D22/365</f>
        <v/>
      </c>
      <c r="E210" s="29">
        <f>E206*E22/365</f>
        <v/>
      </c>
      <c r="F210" s="29">
        <f>F206*F22/365</f>
        <v/>
      </c>
      <c r="G210" s="29">
        <f>G206*G22/365</f>
        <v/>
      </c>
      <c r="H210" s="29">
        <f>H206*H22/365</f>
        <v/>
      </c>
      <c r="I210" s="29">
        <f>I206*I22/365</f>
        <v/>
      </c>
      <c r="J210" s="29">
        <f>J206*J22/365</f>
        <v/>
      </c>
      <c r="K210" s="29">
        <f>K206*K22/365</f>
        <v/>
      </c>
      <c r="L210" s="29">
        <f>L206*L22/365</f>
        <v/>
      </c>
    </row>
    <row r="211">
      <c r="B211" t="inlineStr">
        <is>
          <t>AP</t>
        </is>
      </c>
      <c r="D211" s="29">
        <f>D207*D23/365</f>
        <v/>
      </c>
      <c r="E211" s="29">
        <f>E207*E23/365</f>
        <v/>
      </c>
      <c r="F211" s="29">
        <f>F207*F23/365</f>
        <v/>
      </c>
      <c r="G211" s="29">
        <f>G207*G23/365</f>
        <v/>
      </c>
      <c r="H211" s="29">
        <f>H207*H23/365</f>
        <v/>
      </c>
      <c r="I211" s="29">
        <f>I207*I23/365</f>
        <v/>
      </c>
      <c r="J211" s="29">
        <f>J207*J23/365</f>
        <v/>
      </c>
      <c r="K211" s="29">
        <f>K207*K23/365</f>
        <v/>
      </c>
      <c r="L211" s="29">
        <f>L207*L23/365</f>
        <v/>
      </c>
    </row>
    <row r="212">
      <c r="B212" t="inlineStr">
        <is>
          <t>dAR</t>
        </is>
      </c>
      <c r="D212" s="29">
        <f>D210-N(C210)</f>
        <v/>
      </c>
      <c r="E212" s="29">
        <f>E210-N(D210)</f>
        <v/>
      </c>
      <c r="F212" s="29">
        <f>F210-N(E210)</f>
        <v/>
      </c>
      <c r="G212" s="29">
        <f>G210-N(F210)</f>
        <v/>
      </c>
      <c r="H212" s="29">
        <f>H210-N(G210)</f>
        <v/>
      </c>
      <c r="I212" s="29">
        <f>I210-N(H210)</f>
        <v/>
      </c>
      <c r="J212" s="29">
        <f>J210-N(I210)</f>
        <v/>
      </c>
      <c r="K212" s="29">
        <f>K210-N(J210)</f>
        <v/>
      </c>
      <c r="L212" s="29">
        <f>L210-N(K210)</f>
        <v/>
      </c>
    </row>
    <row r="213">
      <c r="B213" t="inlineStr">
        <is>
          <t>dAP</t>
        </is>
      </c>
      <c r="D213" s="29">
        <f>D211-N(C211)</f>
        <v/>
      </c>
      <c r="E213" s="29">
        <f>E211-N(D211)</f>
        <v/>
      </c>
      <c r="F213" s="29">
        <f>F211-N(E211)</f>
        <v/>
      </c>
      <c r="G213" s="29">
        <f>G211-N(F211)</f>
        <v/>
      </c>
      <c r="H213" s="29">
        <f>H211-N(G211)</f>
        <v/>
      </c>
      <c r="I213" s="29">
        <f>I211-N(H211)</f>
        <v/>
      </c>
      <c r="J213" s="29">
        <f>J211-N(I211)</f>
        <v/>
      </c>
      <c r="K213" s="29">
        <f>K211-N(J211)</f>
        <v/>
      </c>
      <c r="L213" s="29">
        <f>L211-N(K211)</f>
        <v/>
      </c>
    </row>
    <row r="214">
      <c r="B214" t="inlineStr">
        <is>
          <t>CFO</t>
        </is>
      </c>
      <c r="D214" s="29">
        <f>D209-D212+D213</f>
        <v/>
      </c>
      <c r="E214" s="29">
        <f>E209-E212+E213</f>
        <v/>
      </c>
      <c r="F214" s="29">
        <f>F209-F212+F213</f>
        <v/>
      </c>
      <c r="G214" s="29">
        <f>G209-G212+G213</f>
        <v/>
      </c>
      <c r="H214" s="29">
        <f>H209-H212+H213</f>
        <v/>
      </c>
      <c r="I214" s="29">
        <f>I209-I212+I213</f>
        <v/>
      </c>
      <c r="J214" s="29">
        <f>J209-J212+J213</f>
        <v/>
      </c>
      <c r="K214" s="29">
        <f>K209-K212+K213</f>
        <v/>
      </c>
      <c r="L214" s="29">
        <f>L209-L212+L213</f>
        <v/>
      </c>
    </row>
    <row r="215">
      <c r="B215" t="inlineStr">
        <is>
          <t>CAPEX</t>
        </is>
      </c>
      <c r="D215" s="29">
        <f>D63</f>
        <v/>
      </c>
      <c r="E215" s="29">
        <f>E63</f>
        <v/>
      </c>
      <c r="F215" s="29">
        <f>F63</f>
        <v/>
      </c>
      <c r="G215" s="29">
        <f>G63</f>
        <v/>
      </c>
      <c r="H215" s="29">
        <f>H63</f>
        <v/>
      </c>
      <c r="I215" s="29">
        <f>I63</f>
        <v/>
      </c>
      <c r="J215" s="29">
        <f>J63</f>
        <v/>
      </c>
      <c r="K215" s="29">
        <f>K63</f>
        <v/>
      </c>
      <c r="L215" s="29">
        <f>L63</f>
        <v/>
      </c>
    </row>
    <row r="216">
      <c r="B216" t="inlineStr">
        <is>
          <t>Equity in</t>
        </is>
      </c>
      <c r="D216" s="29">
        <f>IF(D5=2022,1000000,0)</f>
        <v/>
      </c>
      <c r="E216" s="29">
        <f>IF(E5=2022,1000000,0)</f>
        <v/>
      </c>
      <c r="F216" s="29">
        <f>IF(F5=2022,1000000,0)</f>
        <v/>
      </c>
      <c r="G216" s="29">
        <f>IF(G5=2022,1000000,0)</f>
        <v/>
      </c>
      <c r="H216" s="29">
        <f>IF(H5=2022,1000000,0)</f>
        <v/>
      </c>
      <c r="I216" s="29">
        <f>IF(I5=2022,1000000,0)</f>
        <v/>
      </c>
      <c r="J216" s="29">
        <f>IF(J5=2022,1000000,0)</f>
        <v/>
      </c>
      <c r="K216" s="29">
        <f>IF(K5=2022,1000000,0)</f>
        <v/>
      </c>
      <c r="L216" s="29">
        <f>IF(L5=2022,1000000,0)</f>
        <v/>
      </c>
    </row>
    <row r="217">
      <c r="B217" t="inlineStr">
        <is>
          <t>Cash start</t>
        </is>
      </c>
      <c r="D217" s="29">
        <f>IF(D5=2022,0,C226)</f>
        <v/>
      </c>
      <c r="E217" s="29">
        <f>IF(E5=2022,0,D226)</f>
        <v/>
      </c>
      <c r="F217" s="29">
        <f>IF(F5=2022,0,E226)</f>
        <v/>
      </c>
      <c r="G217" s="29">
        <f>IF(G5=2022,0,F226)</f>
        <v/>
      </c>
      <c r="H217" s="29">
        <f>IF(H5=2022,0,G226)</f>
        <v/>
      </c>
      <c r="I217" s="29">
        <f>IF(I5=2022,0,H226)</f>
        <v/>
      </c>
      <c r="J217" s="29">
        <f>IF(J5=2022,0,I226)</f>
        <v/>
      </c>
      <c r="K217" s="29">
        <f>IF(K5=2022,0,J226)</f>
        <v/>
      </c>
      <c r="L217" s="29">
        <f>IF(L5=2022,0,K226)</f>
        <v/>
      </c>
    </row>
    <row r="218">
      <c r="B218" t="inlineStr">
        <is>
          <t>Debt start</t>
        </is>
      </c>
      <c r="D218" s="29">
        <f>IF(D5=2022,0,C220)</f>
        <v/>
      </c>
      <c r="E218" s="29">
        <f>IF(E5=2022,0,D220)</f>
        <v/>
      </c>
      <c r="F218" s="29">
        <f>IF(F5=2022,0,E220)</f>
        <v/>
      </c>
      <c r="G218" s="29">
        <f>IF(G5=2022,0,F220)</f>
        <v/>
      </c>
      <c r="H218" s="29">
        <f>IF(H5=2022,0,G220)</f>
        <v/>
      </c>
      <c r="I218" s="29">
        <f>IF(I5=2022,0,H220)</f>
        <v/>
      </c>
      <c r="J218" s="29">
        <f>IF(J5=2022,0,I220)</f>
        <v/>
      </c>
      <c r="K218" s="29">
        <f>IF(K5=2022,0,J220)</f>
        <v/>
      </c>
      <c r="L218" s="29">
        <f>IF(L5=2022,0,K220)</f>
        <v/>
      </c>
    </row>
    <row r="219">
      <c r="B219" t="inlineStr">
        <is>
          <t>Pre-debt cash</t>
        </is>
      </c>
      <c r="D219" s="29">
        <f>D217+D214-D215+D216</f>
        <v/>
      </c>
      <c r="E219" s="29">
        <f>E217+E214-E215+E216</f>
        <v/>
      </c>
      <c r="F219" s="29">
        <f>F217+F214-F215+F216</f>
        <v/>
      </c>
      <c r="G219" s="29">
        <f>G217+G214-G215+G216</f>
        <v/>
      </c>
      <c r="H219" s="29">
        <f>H217+H214-H215+H216</f>
        <v/>
      </c>
      <c r="I219" s="29">
        <f>I217+I214-I215+I216</f>
        <v/>
      </c>
      <c r="J219" s="29">
        <f>J217+J214-J215+J216</f>
        <v/>
      </c>
      <c r="K219" s="29">
        <f>K217+K214-K215+K216</f>
        <v/>
      </c>
      <c r="L219" s="29">
        <f>L217+L214-L215+L216</f>
        <v/>
      </c>
    </row>
    <row r="220">
      <c r="B220" t="inlineStr">
        <is>
          <t>Debt end</t>
        </is>
      </c>
      <c r="D220" s="29">
        <f>IF(D219&gt;=D218,0,(D218-D219)/(1-D14))</f>
        <v/>
      </c>
      <c r="E220" s="29">
        <f>IF(E219&gt;=E218,0,(E218-E219)/(1-E14))</f>
        <v/>
      </c>
      <c r="F220" s="29">
        <f>IF(F219&gt;=F218,0,(F218-F219)/(1-F14))</f>
        <v/>
      </c>
      <c r="G220" s="29">
        <f>IF(G219&gt;=G218,0,(G218-G219)/(1-G14))</f>
        <v/>
      </c>
      <c r="H220" s="29">
        <f>IF(H219&gt;=H218,0,(H218-H219)/(1-H14))</f>
        <v/>
      </c>
      <c r="I220" s="29">
        <f>IF(I219&gt;=I218,0,(I218-I219)/(1-I14))</f>
        <v/>
      </c>
      <c r="J220" s="29">
        <f>IF(J219&gt;=J218,0,(J218-J219)/(1-J14))</f>
        <v/>
      </c>
      <c r="K220" s="29">
        <f>IF(K219&gt;=K218,0,(K218-K219)/(1-K14))</f>
        <v/>
      </c>
      <c r="L220" s="29">
        <f>IF(L219&gt;=L218,0,(L218-L219)/(1-L14))</f>
        <v/>
      </c>
    </row>
    <row r="221">
      <c r="B221" t="inlineStr">
        <is>
          <t>Interest</t>
        </is>
      </c>
      <c r="D221" s="29">
        <f>D220*D14</f>
        <v/>
      </c>
      <c r="E221" s="29">
        <f>E220*E14</f>
        <v/>
      </c>
      <c r="F221" s="29">
        <f>F220*F14</f>
        <v/>
      </c>
      <c r="G221" s="29">
        <f>G220*G14</f>
        <v/>
      </c>
      <c r="H221" s="29">
        <f>H220*H14</f>
        <v/>
      </c>
      <c r="I221" s="29">
        <f>I220*I14</f>
        <v/>
      </c>
      <c r="J221" s="29">
        <f>J220*J14</f>
        <v/>
      </c>
      <c r="K221" s="29">
        <f>K220*K14</f>
        <v/>
      </c>
      <c r="L221" s="29">
        <f>L220*L14</f>
        <v/>
      </c>
    </row>
    <row r="222">
      <c r="B222" t="inlineStr">
        <is>
          <t>Debt draw</t>
        </is>
      </c>
      <c r="D222" s="29">
        <f>MAX(0,D220-D218)</f>
        <v/>
      </c>
      <c r="E222" s="29">
        <f>MAX(0,E220-E218)</f>
        <v/>
      </c>
      <c r="F222" s="29">
        <f>MAX(0,F220-F218)</f>
        <v/>
      </c>
      <c r="G222" s="29">
        <f>MAX(0,G220-G218)</f>
        <v/>
      </c>
      <c r="H222" s="29">
        <f>MAX(0,H220-H218)</f>
        <v/>
      </c>
      <c r="I222" s="29">
        <f>MAX(0,I220-I218)</f>
        <v/>
      </c>
      <c r="J222" s="29">
        <f>MAX(0,J220-J218)</f>
        <v/>
      </c>
      <c r="K222" s="29">
        <f>MAX(0,K220-K218)</f>
        <v/>
      </c>
      <c r="L222" s="29">
        <f>MAX(0,L220-L218)</f>
        <v/>
      </c>
    </row>
    <row r="223">
      <c r="B223" t="inlineStr">
        <is>
          <t>Debt repay</t>
        </is>
      </c>
      <c r="D223" s="29">
        <f>MAX(0,D218-D220)</f>
        <v/>
      </c>
      <c r="E223" s="29">
        <f>MAX(0,E218-E220)</f>
        <v/>
      </c>
      <c r="F223" s="29">
        <f>MAX(0,F218-F220)</f>
        <v/>
      </c>
      <c r="G223" s="29">
        <f>MAX(0,G218-G220)</f>
        <v/>
      </c>
      <c r="H223" s="29">
        <f>MAX(0,H218-H220)</f>
        <v/>
      </c>
      <c r="I223" s="29">
        <f>MAX(0,I218-I220)</f>
        <v/>
      </c>
      <c r="J223" s="29">
        <f>MAX(0,J218-J220)</f>
        <v/>
      </c>
      <c r="K223" s="29">
        <f>MAX(0,K218-K220)</f>
        <v/>
      </c>
      <c r="L223" s="29">
        <f>MAX(0,L218-L220)</f>
        <v/>
      </c>
    </row>
    <row r="224">
      <c r="B224" t="inlineStr">
        <is>
          <t>Post-debt cash</t>
        </is>
      </c>
      <c r="D224" s="29">
        <f>MAX(0,D219-D218)</f>
        <v/>
      </c>
      <c r="E224" s="29">
        <f>MAX(0,E219-E218)</f>
        <v/>
      </c>
      <c r="F224" s="29">
        <f>MAX(0,F219-F218)</f>
        <v/>
      </c>
      <c r="G224" s="29">
        <f>MAX(0,G219-G218)</f>
        <v/>
      </c>
      <c r="H224" s="29">
        <f>MAX(0,H219-H218)</f>
        <v/>
      </c>
      <c r="I224" s="29">
        <f>MAX(0,I219-I218)</f>
        <v/>
      </c>
      <c r="J224" s="29">
        <f>MAX(0,J219-J218)</f>
        <v/>
      </c>
      <c r="K224" s="29">
        <f>MAX(0,K219-K218)</f>
        <v/>
      </c>
      <c r="L224" s="29">
        <f>MAX(0,L219-L218)</f>
        <v/>
      </c>
    </row>
    <row r="225">
      <c r="B225" t="inlineStr">
        <is>
          <t>Dividends</t>
        </is>
      </c>
      <c r="D225" s="29">
        <f>IF(D220&gt;0,0,MAX(0,(D224-100000)*0.5))</f>
        <v/>
      </c>
      <c r="E225" s="29">
        <f>IF(E220&gt;0,0,MAX(0,(E224-100000)*0.5))</f>
        <v/>
      </c>
      <c r="F225" s="29">
        <f>IF(F220&gt;0,0,MAX(0,(F224-100000)*0.5))</f>
        <v/>
      </c>
      <c r="G225" s="29">
        <f>IF(G220&gt;0,0,MAX(0,(G224-100000)*0.5))</f>
        <v/>
      </c>
      <c r="H225" s="29">
        <f>IF(H220&gt;0,0,MAX(0,(H224-100000)*0.5))</f>
        <v/>
      </c>
      <c r="I225" s="29">
        <f>IF(I220&gt;0,0,MAX(0,(I224-100000)*0.5))</f>
        <v/>
      </c>
      <c r="J225" s="29">
        <f>IF(J220&gt;0,0,MAX(0,(J224-100000)*0.5))</f>
        <v/>
      </c>
      <c r="K225" s="29">
        <f>IF(K220&gt;0,0,MAX(0,(K224-100000)*0.5))</f>
        <v/>
      </c>
      <c r="L225" s="29">
        <f>IF(L220&gt;0,0,MAX(0,(L224-100000)*0.5))</f>
        <v/>
      </c>
    </row>
    <row r="226">
      <c r="B226" t="inlineStr">
        <is>
          <t>Cash end</t>
        </is>
      </c>
      <c r="D226" s="29">
        <f>D219+D222-D223-D221-D225</f>
        <v/>
      </c>
      <c r="E226" s="29">
        <f>E219+E222-E223-E221-E225</f>
        <v/>
      </c>
      <c r="F226" s="29">
        <f>F219+F222-F223-F221-F225</f>
        <v/>
      </c>
      <c r="G226" s="29">
        <f>G219+G222-G223-G221-G225</f>
        <v/>
      </c>
      <c r="H226" s="29">
        <f>H219+H222-H223-H221-H225</f>
        <v/>
      </c>
      <c r="I226" s="29">
        <f>I219+I222-I223-I221-I225</f>
        <v/>
      </c>
      <c r="J226" s="29">
        <f>J219+J222-J223-J221-J225</f>
        <v/>
      </c>
      <c r="K226" s="29">
        <f>K219+K222-K223-K221-K225</f>
        <v/>
      </c>
      <c r="L226" s="29">
        <f>L219+L222-L223-L221-L225</f>
        <v/>
      </c>
    </row>
    <row r="227">
      <c r="B227" t="inlineStr">
        <is>
          <t>Equity CF</t>
        </is>
      </c>
      <c r="D227" s="29">
        <f>-D216+D225</f>
        <v/>
      </c>
      <c r="E227" s="29">
        <f>-E216+E225</f>
        <v/>
      </c>
      <c r="F227" s="29">
        <f>-F216+F225</f>
        <v/>
      </c>
      <c r="G227" s="29">
        <f>-G216+G225</f>
        <v/>
      </c>
      <c r="H227" s="29">
        <f>-H216+H225</f>
        <v/>
      </c>
      <c r="I227" s="29">
        <f>-I216+I225</f>
        <v/>
      </c>
      <c r="J227" s="29">
        <f>-J216+J225</f>
        <v/>
      </c>
      <c r="K227" s="29">
        <f>-K216+K225</f>
        <v/>
      </c>
      <c r="L227" s="29">
        <f>-L216+L225</f>
        <v/>
      </c>
    </row>
    <row r="228">
      <c r="B228" t="inlineStr">
        <is>
          <t>PV Equity CF</t>
        </is>
      </c>
      <c r="D228" s="29">
        <f>D227/(1+D12)^(D5-2022)</f>
        <v/>
      </c>
      <c r="E228" s="29">
        <f>E227/(1+E12)^(E5-2022)</f>
        <v/>
      </c>
      <c r="F228" s="29">
        <f>F227/(1+F12)^(F5-2022)</f>
        <v/>
      </c>
      <c r="G228" s="29">
        <f>G227/(1+G12)^(G5-2022)</f>
        <v/>
      </c>
      <c r="H228" s="29">
        <f>H227/(1+H12)^(H5-2022)</f>
        <v/>
      </c>
      <c r="I228" s="29">
        <f>I227/(1+I12)^(I5-2022)</f>
        <v/>
      </c>
      <c r="J228" s="29">
        <f>J227/(1+J12)^(J5-2022)</f>
        <v/>
      </c>
      <c r="K228" s="29">
        <f>K227/(1+K12)^(K5-2022)</f>
        <v/>
      </c>
      <c r="L228" s="29">
        <f>L227/(1+L12)^(L5-2022)</f>
        <v/>
      </c>
    </row>
    <row r="229">
      <c r="B229" t="inlineStr">
        <is>
          <t>NPV Equity</t>
        </is>
      </c>
      <c r="C229">
        <f>SUM(D228:L228)</f>
        <v/>
      </c>
    </row>
    <row r="231">
      <c r="B231" s="31" t="inlineStr">
        <is>
          <t>ENGINE S2 x SC1</t>
        </is>
      </c>
      <c r="C231" t="inlineStr">
        <is>
          <t>pm=0.8, vm=0.9, dCost=0.03, payout=0.8, reserve=0</t>
        </is>
      </c>
    </row>
    <row r="232">
      <c r="B232" t="inlineStr">
        <is>
          <t>Cost cum adj</t>
        </is>
      </c>
      <c r="D232" s="29">
        <f>(1+D7+0.03)</f>
        <v/>
      </c>
      <c r="E232" s="29">
        <f>D232*(1+E7+0.03)</f>
        <v/>
      </c>
      <c r="F232" s="29">
        <f>E232*(1+F7+0.03)</f>
        <v/>
      </c>
      <c r="G232" s="29">
        <f>F232*(1+G7+0.03)</f>
        <v/>
      </c>
      <c r="H232" s="29">
        <f>G232*(1+H7+0.03)</f>
        <v/>
      </c>
      <c r="I232" s="29">
        <f>H232*(1+I7+0.03)</f>
        <v/>
      </c>
      <c r="J232" s="29">
        <f>I232*(1+J7+0.03)</f>
        <v/>
      </c>
      <c r="K232" s="29">
        <f>J232*(1+K7+0.03)</f>
        <v/>
      </c>
      <c r="L232" s="29">
        <f>K232*(1+L7+0.03)</f>
        <v/>
      </c>
    </row>
    <row r="233">
      <c r="B233" t="inlineStr">
        <is>
          <t>Revenue</t>
        </is>
      </c>
      <c r="D233" s="29">
        <f>D17*D18*0.9*D11*D10*0.8</f>
        <v/>
      </c>
      <c r="E233" s="29">
        <f>E17*E18*0.9*E11*E10*0.8</f>
        <v/>
      </c>
      <c r="F233" s="29">
        <f>F17*F18*0.9*F11*F10*0.8</f>
        <v/>
      </c>
      <c r="G233" s="29">
        <f>G17*G18*0.9*G11*G10*0.8</f>
        <v/>
      </c>
      <c r="H233" s="29">
        <f>H17*H18*0.9*H11*H10*0.8</f>
        <v/>
      </c>
      <c r="I233" s="29">
        <f>I17*I18*0.9*I11*I10*0.8</f>
        <v/>
      </c>
      <c r="J233" s="29">
        <f>J17*J18*0.9*J11*J10*0.8</f>
        <v/>
      </c>
      <c r="K233" s="29">
        <f>K17*K18*0.9*K11*K10*0.8</f>
        <v/>
      </c>
      <c r="L233" s="29">
        <f>L17*L18*0.9*L11*L10*0.8</f>
        <v/>
      </c>
    </row>
    <row r="234">
      <c r="B234" t="inlineStr">
        <is>
          <t>OPEX</t>
        </is>
      </c>
      <c r="D234" s="29">
        <f>D17*1000*D19*D232*0.9+D17*D18*0.9*D20*D232+D21*D232</f>
        <v/>
      </c>
      <c r="E234" s="29">
        <f>E17*1000*E19*E232*0.9+E17*E18*0.9*E20*E232+E21*E232</f>
        <v/>
      </c>
      <c r="F234" s="29">
        <f>F17*1000*F19*F232*0.9+F17*F18*0.9*F20*F232+F21*F232</f>
        <v/>
      </c>
      <c r="G234" s="29">
        <f>G17*1000*G19*G232*0.9+G17*G18*0.9*G20*G232+G21*G232</f>
        <v/>
      </c>
      <c r="H234" s="29">
        <f>H17*1000*H19*H232*0.9+H17*H18*0.9*H20*H232+H21*H232</f>
        <v/>
      </c>
      <c r="I234" s="29">
        <f>I17*1000*I19*I232*0.9+I17*I18*0.9*I20*I232+I21*I232</f>
        <v/>
      </c>
      <c r="J234" s="29">
        <f>J17*1000*J19*J232*0.9+J17*J18*0.9*J20*J232+J21*J232</f>
        <v/>
      </c>
      <c r="K234" s="29">
        <f>K17*1000*K19*K232*0.9+K17*K18*0.9*K20*K232+K21*K232</f>
        <v/>
      </c>
      <c r="L234" s="29">
        <f>L17*1000*L19*L232*0.9+L17*L18*0.9*L20*L232+L21*L232</f>
        <v/>
      </c>
    </row>
    <row r="235">
      <c r="B235" t="inlineStr">
        <is>
          <t>NDPI</t>
        </is>
      </c>
      <c r="D235" s="29">
        <f>D233*D13</f>
        <v/>
      </c>
      <c r="E235" s="29">
        <f>E233*E13</f>
        <v/>
      </c>
      <c r="F235" s="29">
        <f>F233*F13</f>
        <v/>
      </c>
      <c r="G235" s="29">
        <f>G233*G13</f>
        <v/>
      </c>
      <c r="H235" s="29">
        <f>H233*H13</f>
        <v/>
      </c>
      <c r="I235" s="29">
        <f>I233*I13</f>
        <v/>
      </c>
      <c r="J235" s="29">
        <f>J233*J13</f>
        <v/>
      </c>
      <c r="K235" s="29">
        <f>K233*K13</f>
        <v/>
      </c>
      <c r="L235" s="29">
        <f>L233*L13</f>
        <v/>
      </c>
    </row>
    <row r="236">
      <c r="B236" t="inlineStr">
        <is>
          <t>EBIT</t>
        </is>
      </c>
      <c r="D236" s="29">
        <f>D233-D234-D235</f>
        <v/>
      </c>
      <c r="E236" s="29">
        <f>E233-E234-E235</f>
        <v/>
      </c>
      <c r="F236" s="29">
        <f>F233-F234-F235</f>
        <v/>
      </c>
      <c r="G236" s="29">
        <f>G233-G234-G235</f>
        <v/>
      </c>
      <c r="H236" s="29">
        <f>H233-H234-H235</f>
        <v/>
      </c>
      <c r="I236" s="29">
        <f>I233-I234-I235</f>
        <v/>
      </c>
      <c r="J236" s="29">
        <f>J233-J234-J235</f>
        <v/>
      </c>
      <c r="K236" s="29">
        <f>K233-K234-K235</f>
        <v/>
      </c>
      <c r="L236" s="29">
        <f>L233-L234-L235</f>
        <v/>
      </c>
    </row>
    <row r="237">
      <c r="B237" t="inlineStr">
        <is>
          <t>AR</t>
        </is>
      </c>
      <c r="D237" s="29">
        <f>D233*D22/365</f>
        <v/>
      </c>
      <c r="E237" s="29">
        <f>E233*E22/365</f>
        <v/>
      </c>
      <c r="F237" s="29">
        <f>F233*F22/365</f>
        <v/>
      </c>
      <c r="G237" s="29">
        <f>G233*G22/365</f>
        <v/>
      </c>
      <c r="H237" s="29">
        <f>H233*H22/365</f>
        <v/>
      </c>
      <c r="I237" s="29">
        <f>I233*I22/365</f>
        <v/>
      </c>
      <c r="J237" s="29">
        <f>J233*J22/365</f>
        <v/>
      </c>
      <c r="K237" s="29">
        <f>K233*K22/365</f>
        <v/>
      </c>
      <c r="L237" s="29">
        <f>L233*L22/365</f>
        <v/>
      </c>
    </row>
    <row r="238">
      <c r="B238" t="inlineStr">
        <is>
          <t>AP</t>
        </is>
      </c>
      <c r="D238" s="29">
        <f>D234*D23/365</f>
        <v/>
      </c>
      <c r="E238" s="29">
        <f>E234*E23/365</f>
        <v/>
      </c>
      <c r="F238" s="29">
        <f>F234*F23/365</f>
        <v/>
      </c>
      <c r="G238" s="29">
        <f>G234*G23/365</f>
        <v/>
      </c>
      <c r="H238" s="29">
        <f>H234*H23/365</f>
        <v/>
      </c>
      <c r="I238" s="29">
        <f>I234*I23/365</f>
        <v/>
      </c>
      <c r="J238" s="29">
        <f>J234*J23/365</f>
        <v/>
      </c>
      <c r="K238" s="29">
        <f>K234*K23/365</f>
        <v/>
      </c>
      <c r="L238" s="29">
        <f>L234*L23/365</f>
        <v/>
      </c>
    </row>
    <row r="239">
      <c r="B239" t="inlineStr">
        <is>
          <t>dAR</t>
        </is>
      </c>
      <c r="D239" s="29">
        <f>D237-N(C237)</f>
        <v/>
      </c>
      <c r="E239" s="29">
        <f>E237-N(D237)</f>
        <v/>
      </c>
      <c r="F239" s="29">
        <f>F237-N(E237)</f>
        <v/>
      </c>
      <c r="G239" s="29">
        <f>G237-N(F237)</f>
        <v/>
      </c>
      <c r="H239" s="29">
        <f>H237-N(G237)</f>
        <v/>
      </c>
      <c r="I239" s="29">
        <f>I237-N(H237)</f>
        <v/>
      </c>
      <c r="J239" s="29">
        <f>J237-N(I237)</f>
        <v/>
      </c>
      <c r="K239" s="29">
        <f>K237-N(J237)</f>
        <v/>
      </c>
      <c r="L239" s="29">
        <f>L237-N(K237)</f>
        <v/>
      </c>
    </row>
    <row r="240">
      <c r="B240" t="inlineStr">
        <is>
          <t>dAP</t>
        </is>
      </c>
      <c r="D240" s="29">
        <f>D238-N(C238)</f>
        <v/>
      </c>
      <c r="E240" s="29">
        <f>E238-N(D238)</f>
        <v/>
      </c>
      <c r="F240" s="29">
        <f>F238-N(E238)</f>
        <v/>
      </c>
      <c r="G240" s="29">
        <f>G238-N(F238)</f>
        <v/>
      </c>
      <c r="H240" s="29">
        <f>H238-N(G238)</f>
        <v/>
      </c>
      <c r="I240" s="29">
        <f>I238-N(H238)</f>
        <v/>
      </c>
      <c r="J240" s="29">
        <f>J238-N(I238)</f>
        <v/>
      </c>
      <c r="K240" s="29">
        <f>K238-N(J238)</f>
        <v/>
      </c>
      <c r="L240" s="29">
        <f>L238-N(K238)</f>
        <v/>
      </c>
    </row>
    <row r="241">
      <c r="B241" t="inlineStr">
        <is>
          <t>CFO</t>
        </is>
      </c>
      <c r="D241" s="29">
        <f>D236-D239+D240</f>
        <v/>
      </c>
      <c r="E241" s="29">
        <f>E236-E239+E240</f>
        <v/>
      </c>
      <c r="F241" s="29">
        <f>F236-F239+F240</f>
        <v/>
      </c>
      <c r="G241" s="29">
        <f>G236-G239+G240</f>
        <v/>
      </c>
      <c r="H241" s="29">
        <f>H236-H239+H240</f>
        <v/>
      </c>
      <c r="I241" s="29">
        <f>I236-I239+I240</f>
        <v/>
      </c>
      <c r="J241" s="29">
        <f>J236-J239+J240</f>
        <v/>
      </c>
      <c r="K241" s="29">
        <f>K236-K239+K240</f>
        <v/>
      </c>
      <c r="L241" s="29">
        <f>L236-L239+L240</f>
        <v/>
      </c>
    </row>
    <row r="242">
      <c r="B242" t="inlineStr">
        <is>
          <t>CAPEX</t>
        </is>
      </c>
      <c r="D242" s="29">
        <f>D63</f>
        <v/>
      </c>
      <c r="E242" s="29">
        <f>E63</f>
        <v/>
      </c>
      <c r="F242" s="29">
        <f>F63</f>
        <v/>
      </c>
      <c r="G242" s="29">
        <f>G63</f>
        <v/>
      </c>
      <c r="H242" s="29">
        <f>H63</f>
        <v/>
      </c>
      <c r="I242" s="29">
        <f>I63</f>
        <v/>
      </c>
      <c r="J242" s="29">
        <f>J63</f>
        <v/>
      </c>
      <c r="K242" s="29">
        <f>K63</f>
        <v/>
      </c>
      <c r="L242" s="29">
        <f>L63</f>
        <v/>
      </c>
    </row>
    <row r="243">
      <c r="B243" t="inlineStr">
        <is>
          <t>Equity in</t>
        </is>
      </c>
      <c r="D243" s="29">
        <f>IF(D5=2022,1000000,0)</f>
        <v/>
      </c>
      <c r="E243" s="29">
        <f>IF(E5=2022,1000000,0)</f>
        <v/>
      </c>
      <c r="F243" s="29">
        <f>IF(F5=2022,1000000,0)</f>
        <v/>
      </c>
      <c r="G243" s="29">
        <f>IF(G5=2022,1000000,0)</f>
        <v/>
      </c>
      <c r="H243" s="29">
        <f>IF(H5=2022,1000000,0)</f>
        <v/>
      </c>
      <c r="I243" s="29">
        <f>IF(I5=2022,1000000,0)</f>
        <v/>
      </c>
      <c r="J243" s="29">
        <f>IF(J5=2022,1000000,0)</f>
        <v/>
      </c>
      <c r="K243" s="29">
        <f>IF(K5=2022,1000000,0)</f>
        <v/>
      </c>
      <c r="L243" s="29">
        <f>IF(L5=2022,1000000,0)</f>
        <v/>
      </c>
    </row>
    <row r="244">
      <c r="B244" t="inlineStr">
        <is>
          <t>Cash start</t>
        </is>
      </c>
      <c r="D244" s="29">
        <f>IF(D5=2022,0,C253)</f>
        <v/>
      </c>
      <c r="E244" s="29">
        <f>IF(E5=2022,0,D253)</f>
        <v/>
      </c>
      <c r="F244" s="29">
        <f>IF(F5=2022,0,E253)</f>
        <v/>
      </c>
      <c r="G244" s="29">
        <f>IF(G5=2022,0,F253)</f>
        <v/>
      </c>
      <c r="H244" s="29">
        <f>IF(H5=2022,0,G253)</f>
        <v/>
      </c>
      <c r="I244" s="29">
        <f>IF(I5=2022,0,H253)</f>
        <v/>
      </c>
      <c r="J244" s="29">
        <f>IF(J5=2022,0,I253)</f>
        <v/>
      </c>
      <c r="K244" s="29">
        <f>IF(K5=2022,0,J253)</f>
        <v/>
      </c>
      <c r="L244" s="29">
        <f>IF(L5=2022,0,K253)</f>
        <v/>
      </c>
    </row>
    <row r="245">
      <c r="B245" t="inlineStr">
        <is>
          <t>Debt start</t>
        </is>
      </c>
      <c r="D245" s="29">
        <f>IF(D5=2022,0,C247)</f>
        <v/>
      </c>
      <c r="E245" s="29">
        <f>IF(E5=2022,0,D247)</f>
        <v/>
      </c>
      <c r="F245" s="29">
        <f>IF(F5=2022,0,E247)</f>
        <v/>
      </c>
      <c r="G245" s="29">
        <f>IF(G5=2022,0,F247)</f>
        <v/>
      </c>
      <c r="H245" s="29">
        <f>IF(H5=2022,0,G247)</f>
        <v/>
      </c>
      <c r="I245" s="29">
        <f>IF(I5=2022,0,H247)</f>
        <v/>
      </c>
      <c r="J245" s="29">
        <f>IF(J5=2022,0,I247)</f>
        <v/>
      </c>
      <c r="K245" s="29">
        <f>IF(K5=2022,0,J247)</f>
        <v/>
      </c>
      <c r="L245" s="29">
        <f>IF(L5=2022,0,K247)</f>
        <v/>
      </c>
    </row>
    <row r="246">
      <c r="B246" t="inlineStr">
        <is>
          <t>Pre-debt cash</t>
        </is>
      </c>
      <c r="D246" s="29">
        <f>D244+D241-D242+D243</f>
        <v/>
      </c>
      <c r="E246" s="29">
        <f>E244+E241-E242+E243</f>
        <v/>
      </c>
      <c r="F246" s="29">
        <f>F244+F241-F242+F243</f>
        <v/>
      </c>
      <c r="G246" s="29">
        <f>G244+G241-G242+G243</f>
        <v/>
      </c>
      <c r="H246" s="29">
        <f>H244+H241-H242+H243</f>
        <v/>
      </c>
      <c r="I246" s="29">
        <f>I244+I241-I242+I243</f>
        <v/>
      </c>
      <c r="J246" s="29">
        <f>J244+J241-J242+J243</f>
        <v/>
      </c>
      <c r="K246" s="29">
        <f>K244+K241-K242+K243</f>
        <v/>
      </c>
      <c r="L246" s="29">
        <f>L244+L241-L242+L243</f>
        <v/>
      </c>
    </row>
    <row r="247">
      <c r="B247" t="inlineStr">
        <is>
          <t>Debt end</t>
        </is>
      </c>
      <c r="D247" s="29">
        <f>IF(D246&gt;=D245,0,(D245-D246)/(1-D14))</f>
        <v/>
      </c>
      <c r="E247" s="29">
        <f>IF(E246&gt;=E245,0,(E245-E246)/(1-E14))</f>
        <v/>
      </c>
      <c r="F247" s="29">
        <f>IF(F246&gt;=F245,0,(F245-F246)/(1-F14))</f>
        <v/>
      </c>
      <c r="G247" s="29">
        <f>IF(G246&gt;=G245,0,(G245-G246)/(1-G14))</f>
        <v/>
      </c>
      <c r="H247" s="29">
        <f>IF(H246&gt;=H245,0,(H245-H246)/(1-H14))</f>
        <v/>
      </c>
      <c r="I247" s="29">
        <f>IF(I246&gt;=I245,0,(I245-I246)/(1-I14))</f>
        <v/>
      </c>
      <c r="J247" s="29">
        <f>IF(J246&gt;=J245,0,(J245-J246)/(1-J14))</f>
        <v/>
      </c>
      <c r="K247" s="29">
        <f>IF(K246&gt;=K245,0,(K245-K246)/(1-K14))</f>
        <v/>
      </c>
      <c r="L247" s="29">
        <f>IF(L246&gt;=L245,0,(L245-L246)/(1-L14))</f>
        <v/>
      </c>
    </row>
    <row r="248">
      <c r="B248" t="inlineStr">
        <is>
          <t>Interest</t>
        </is>
      </c>
      <c r="D248" s="29">
        <f>D247*D14</f>
        <v/>
      </c>
      <c r="E248" s="29">
        <f>E247*E14</f>
        <v/>
      </c>
      <c r="F248" s="29">
        <f>F247*F14</f>
        <v/>
      </c>
      <c r="G248" s="29">
        <f>G247*G14</f>
        <v/>
      </c>
      <c r="H248" s="29">
        <f>H247*H14</f>
        <v/>
      </c>
      <c r="I248" s="29">
        <f>I247*I14</f>
        <v/>
      </c>
      <c r="J248" s="29">
        <f>J247*J14</f>
        <v/>
      </c>
      <c r="K248" s="29">
        <f>K247*K14</f>
        <v/>
      </c>
      <c r="L248" s="29">
        <f>L247*L14</f>
        <v/>
      </c>
    </row>
    <row r="249">
      <c r="B249" t="inlineStr">
        <is>
          <t>Debt draw</t>
        </is>
      </c>
      <c r="D249" s="29">
        <f>MAX(0,D247-D245)</f>
        <v/>
      </c>
      <c r="E249" s="29">
        <f>MAX(0,E247-E245)</f>
        <v/>
      </c>
      <c r="F249" s="29">
        <f>MAX(0,F247-F245)</f>
        <v/>
      </c>
      <c r="G249" s="29">
        <f>MAX(0,G247-G245)</f>
        <v/>
      </c>
      <c r="H249" s="29">
        <f>MAX(0,H247-H245)</f>
        <v/>
      </c>
      <c r="I249" s="29">
        <f>MAX(0,I247-I245)</f>
        <v/>
      </c>
      <c r="J249" s="29">
        <f>MAX(0,J247-J245)</f>
        <v/>
      </c>
      <c r="K249" s="29">
        <f>MAX(0,K247-K245)</f>
        <v/>
      </c>
      <c r="L249" s="29">
        <f>MAX(0,L247-L245)</f>
        <v/>
      </c>
    </row>
    <row r="250">
      <c r="B250" t="inlineStr">
        <is>
          <t>Debt repay</t>
        </is>
      </c>
      <c r="D250" s="29">
        <f>MAX(0,D245-D247)</f>
        <v/>
      </c>
      <c r="E250" s="29">
        <f>MAX(0,E245-E247)</f>
        <v/>
      </c>
      <c r="F250" s="29">
        <f>MAX(0,F245-F247)</f>
        <v/>
      </c>
      <c r="G250" s="29">
        <f>MAX(0,G245-G247)</f>
        <v/>
      </c>
      <c r="H250" s="29">
        <f>MAX(0,H245-H247)</f>
        <v/>
      </c>
      <c r="I250" s="29">
        <f>MAX(0,I245-I247)</f>
        <v/>
      </c>
      <c r="J250" s="29">
        <f>MAX(0,J245-J247)</f>
        <v/>
      </c>
      <c r="K250" s="29">
        <f>MAX(0,K245-K247)</f>
        <v/>
      </c>
      <c r="L250" s="29">
        <f>MAX(0,L245-L247)</f>
        <v/>
      </c>
    </row>
    <row r="251">
      <c r="B251" t="inlineStr">
        <is>
          <t>Post-debt cash</t>
        </is>
      </c>
      <c r="D251" s="29">
        <f>MAX(0,D246-D245)</f>
        <v/>
      </c>
      <c r="E251" s="29">
        <f>MAX(0,E246-E245)</f>
        <v/>
      </c>
      <c r="F251" s="29">
        <f>MAX(0,F246-F245)</f>
        <v/>
      </c>
      <c r="G251" s="29">
        <f>MAX(0,G246-G245)</f>
        <v/>
      </c>
      <c r="H251" s="29">
        <f>MAX(0,H246-H245)</f>
        <v/>
      </c>
      <c r="I251" s="29">
        <f>MAX(0,I246-I245)</f>
        <v/>
      </c>
      <c r="J251" s="29">
        <f>MAX(0,J246-J245)</f>
        <v/>
      </c>
      <c r="K251" s="29">
        <f>MAX(0,K246-K245)</f>
        <v/>
      </c>
      <c r="L251" s="29">
        <f>MAX(0,L246-L245)</f>
        <v/>
      </c>
    </row>
    <row r="252">
      <c r="B252" t="inlineStr">
        <is>
          <t>Dividends</t>
        </is>
      </c>
      <c r="D252" s="29">
        <f>IF(D247&gt;0,0,MAX(0,(D251-0)*0.8))</f>
        <v/>
      </c>
      <c r="E252" s="29">
        <f>IF(E247&gt;0,0,MAX(0,(E251-0)*0.8))</f>
        <v/>
      </c>
      <c r="F252" s="29">
        <f>IF(F247&gt;0,0,MAX(0,(F251-0)*0.8))</f>
        <v/>
      </c>
      <c r="G252" s="29">
        <f>IF(G247&gt;0,0,MAX(0,(G251-0)*0.8))</f>
        <v/>
      </c>
      <c r="H252" s="29">
        <f>IF(H247&gt;0,0,MAX(0,(H251-0)*0.8))</f>
        <v/>
      </c>
      <c r="I252" s="29">
        <f>IF(I247&gt;0,0,MAX(0,(I251-0)*0.8))</f>
        <v/>
      </c>
      <c r="J252" s="29">
        <f>IF(J247&gt;0,0,MAX(0,(J251-0)*0.8))</f>
        <v/>
      </c>
      <c r="K252" s="29">
        <f>IF(K247&gt;0,0,MAX(0,(K251-0)*0.8))</f>
        <v/>
      </c>
      <c r="L252" s="29">
        <f>IF(L247&gt;0,0,MAX(0,(L251-0)*0.8))</f>
        <v/>
      </c>
    </row>
    <row r="253">
      <c r="B253" t="inlineStr">
        <is>
          <t>Cash end</t>
        </is>
      </c>
      <c r="D253" s="29">
        <f>D246+D249-D250-D248-D252</f>
        <v/>
      </c>
      <c r="E253" s="29">
        <f>E246+E249-E250-E248-E252</f>
        <v/>
      </c>
      <c r="F253" s="29">
        <f>F246+F249-F250-F248-F252</f>
        <v/>
      </c>
      <c r="G253" s="29">
        <f>G246+G249-G250-G248-G252</f>
        <v/>
      </c>
      <c r="H253" s="29">
        <f>H246+H249-H250-H248-H252</f>
        <v/>
      </c>
      <c r="I253" s="29">
        <f>I246+I249-I250-I248-I252</f>
        <v/>
      </c>
      <c r="J253" s="29">
        <f>J246+J249-J250-J248-J252</f>
        <v/>
      </c>
      <c r="K253" s="29">
        <f>K246+K249-K250-K248-K252</f>
        <v/>
      </c>
      <c r="L253" s="29">
        <f>L246+L249-L250-L248-L252</f>
        <v/>
      </c>
    </row>
    <row r="254">
      <c r="B254" t="inlineStr">
        <is>
          <t>Equity CF</t>
        </is>
      </c>
      <c r="D254" s="29">
        <f>-D243+D252</f>
        <v/>
      </c>
      <c r="E254" s="29">
        <f>-E243+E252</f>
        <v/>
      </c>
      <c r="F254" s="29">
        <f>-F243+F252</f>
        <v/>
      </c>
      <c r="G254" s="29">
        <f>-G243+G252</f>
        <v/>
      </c>
      <c r="H254" s="29">
        <f>-H243+H252</f>
        <v/>
      </c>
      <c r="I254" s="29">
        <f>-I243+I252</f>
        <v/>
      </c>
      <c r="J254" s="29">
        <f>-J243+J252</f>
        <v/>
      </c>
      <c r="K254" s="29">
        <f>-K243+K252</f>
        <v/>
      </c>
      <c r="L254" s="29">
        <f>-L243+L252</f>
        <v/>
      </c>
    </row>
    <row r="255">
      <c r="B255" t="inlineStr">
        <is>
          <t>PV Equity CF</t>
        </is>
      </c>
      <c r="D255" s="29">
        <f>D254/(1+D12)^(D5-2022)</f>
        <v/>
      </c>
      <c r="E255" s="29">
        <f>E254/(1+E12)^(E5-2022)</f>
        <v/>
      </c>
      <c r="F255" s="29">
        <f>F254/(1+F12)^(F5-2022)</f>
        <v/>
      </c>
      <c r="G255" s="29">
        <f>G254/(1+G12)^(G5-2022)</f>
        <v/>
      </c>
      <c r="H255" s="29">
        <f>H254/(1+H12)^(H5-2022)</f>
        <v/>
      </c>
      <c r="I255" s="29">
        <f>I254/(1+I12)^(I5-2022)</f>
        <v/>
      </c>
      <c r="J255" s="29">
        <f>J254/(1+J12)^(J5-2022)</f>
        <v/>
      </c>
      <c r="K255" s="29">
        <f>K254/(1+K12)^(K5-2022)</f>
        <v/>
      </c>
      <c r="L255" s="29">
        <f>L254/(1+L12)^(L5-2022)</f>
        <v/>
      </c>
    </row>
    <row r="256">
      <c r="B256" t="inlineStr">
        <is>
          <t>NPV Equity</t>
        </is>
      </c>
      <c r="C256">
        <f>SUM(D255:L255)</f>
        <v/>
      </c>
    </row>
    <row r="258">
      <c r="B258" s="31" t="inlineStr">
        <is>
          <t>ENGINE S2 x SC2</t>
        </is>
      </c>
      <c r="C258" t="inlineStr">
        <is>
          <t>pm=1.0, vm=1.0, dCost=0.0, payout=0.8, reserve=0</t>
        </is>
      </c>
    </row>
    <row r="259">
      <c r="B259" t="inlineStr">
        <is>
          <t>Cost cum adj</t>
        </is>
      </c>
      <c r="D259" s="29">
        <f>(1+D7+0.0)</f>
        <v/>
      </c>
      <c r="E259" s="29">
        <f>D259*(1+E7+0.0)</f>
        <v/>
      </c>
      <c r="F259" s="29">
        <f>E259*(1+F7+0.0)</f>
        <v/>
      </c>
      <c r="G259" s="29">
        <f>F259*(1+G7+0.0)</f>
        <v/>
      </c>
      <c r="H259" s="29">
        <f>G259*(1+H7+0.0)</f>
        <v/>
      </c>
      <c r="I259" s="29">
        <f>H259*(1+I7+0.0)</f>
        <v/>
      </c>
      <c r="J259" s="29">
        <f>I259*(1+J7+0.0)</f>
        <v/>
      </c>
      <c r="K259" s="29">
        <f>J259*(1+K7+0.0)</f>
        <v/>
      </c>
      <c r="L259" s="29">
        <f>K259*(1+L7+0.0)</f>
        <v/>
      </c>
    </row>
    <row r="260">
      <c r="B260" t="inlineStr">
        <is>
          <t>Revenue</t>
        </is>
      </c>
      <c r="D260" s="29">
        <f>D17*D18*1.0*D11*D10*1.0</f>
        <v/>
      </c>
      <c r="E260" s="29">
        <f>E17*E18*1.0*E11*E10*1.0</f>
        <v/>
      </c>
      <c r="F260" s="29">
        <f>F17*F18*1.0*F11*F10*1.0</f>
        <v/>
      </c>
      <c r="G260" s="29">
        <f>G17*G18*1.0*G11*G10*1.0</f>
        <v/>
      </c>
      <c r="H260" s="29">
        <f>H17*H18*1.0*H11*H10*1.0</f>
        <v/>
      </c>
      <c r="I260" s="29">
        <f>I17*I18*1.0*I11*I10*1.0</f>
        <v/>
      </c>
      <c r="J260" s="29">
        <f>J17*J18*1.0*J11*J10*1.0</f>
        <v/>
      </c>
      <c r="K260" s="29">
        <f>K17*K18*1.0*K11*K10*1.0</f>
        <v/>
      </c>
      <c r="L260" s="29">
        <f>L17*L18*1.0*L11*L10*1.0</f>
        <v/>
      </c>
    </row>
    <row r="261">
      <c r="B261" t="inlineStr">
        <is>
          <t>OPEX</t>
        </is>
      </c>
      <c r="D261" s="29">
        <f>D17*1000*D19*D259*1.0+D17*D18*1.0*D20*D259+D21*D259</f>
        <v/>
      </c>
      <c r="E261" s="29">
        <f>E17*1000*E19*E259*1.0+E17*E18*1.0*E20*E259+E21*E259</f>
        <v/>
      </c>
      <c r="F261" s="29">
        <f>F17*1000*F19*F259*1.0+F17*F18*1.0*F20*F259+F21*F259</f>
        <v/>
      </c>
      <c r="G261" s="29">
        <f>G17*1000*G19*G259*1.0+G17*G18*1.0*G20*G259+G21*G259</f>
        <v/>
      </c>
      <c r="H261" s="29">
        <f>H17*1000*H19*H259*1.0+H17*H18*1.0*H20*H259+H21*H259</f>
        <v/>
      </c>
      <c r="I261" s="29">
        <f>I17*1000*I19*I259*1.0+I17*I18*1.0*I20*I259+I21*I259</f>
        <v/>
      </c>
      <c r="J261" s="29">
        <f>J17*1000*J19*J259*1.0+J17*J18*1.0*J20*J259+J21*J259</f>
        <v/>
      </c>
      <c r="K261" s="29">
        <f>K17*1000*K19*K259*1.0+K17*K18*1.0*K20*K259+K21*K259</f>
        <v/>
      </c>
      <c r="L261" s="29">
        <f>L17*1000*L19*L259*1.0+L17*L18*1.0*L20*L259+L21*L259</f>
        <v/>
      </c>
    </row>
    <row r="262">
      <c r="B262" t="inlineStr">
        <is>
          <t>NDPI</t>
        </is>
      </c>
      <c r="D262" s="29">
        <f>D260*D13</f>
        <v/>
      </c>
      <c r="E262" s="29">
        <f>E260*E13</f>
        <v/>
      </c>
      <c r="F262" s="29">
        <f>F260*F13</f>
        <v/>
      </c>
      <c r="G262" s="29">
        <f>G260*G13</f>
        <v/>
      </c>
      <c r="H262" s="29">
        <f>H260*H13</f>
        <v/>
      </c>
      <c r="I262" s="29">
        <f>I260*I13</f>
        <v/>
      </c>
      <c r="J262" s="29">
        <f>J260*J13</f>
        <v/>
      </c>
      <c r="K262" s="29">
        <f>K260*K13</f>
        <v/>
      </c>
      <c r="L262" s="29">
        <f>L260*L13</f>
        <v/>
      </c>
    </row>
    <row r="263">
      <c r="B263" t="inlineStr">
        <is>
          <t>EBIT</t>
        </is>
      </c>
      <c r="D263" s="29">
        <f>D260-D261-D262</f>
        <v/>
      </c>
      <c r="E263" s="29">
        <f>E260-E261-E262</f>
        <v/>
      </c>
      <c r="F263" s="29">
        <f>F260-F261-F262</f>
        <v/>
      </c>
      <c r="G263" s="29">
        <f>G260-G261-G262</f>
        <v/>
      </c>
      <c r="H263" s="29">
        <f>H260-H261-H262</f>
        <v/>
      </c>
      <c r="I263" s="29">
        <f>I260-I261-I262</f>
        <v/>
      </c>
      <c r="J263" s="29">
        <f>J260-J261-J262</f>
        <v/>
      </c>
      <c r="K263" s="29">
        <f>K260-K261-K262</f>
        <v/>
      </c>
      <c r="L263" s="29">
        <f>L260-L261-L262</f>
        <v/>
      </c>
    </row>
    <row r="264">
      <c r="B264" t="inlineStr">
        <is>
          <t>AR</t>
        </is>
      </c>
      <c r="D264" s="29">
        <f>D260*D22/365</f>
        <v/>
      </c>
      <c r="E264" s="29">
        <f>E260*E22/365</f>
        <v/>
      </c>
      <c r="F264" s="29">
        <f>F260*F22/365</f>
        <v/>
      </c>
      <c r="G264" s="29">
        <f>G260*G22/365</f>
        <v/>
      </c>
      <c r="H264" s="29">
        <f>H260*H22/365</f>
        <v/>
      </c>
      <c r="I264" s="29">
        <f>I260*I22/365</f>
        <v/>
      </c>
      <c r="J264" s="29">
        <f>J260*J22/365</f>
        <v/>
      </c>
      <c r="K264" s="29">
        <f>K260*K22/365</f>
        <v/>
      </c>
      <c r="L264" s="29">
        <f>L260*L22/365</f>
        <v/>
      </c>
    </row>
    <row r="265">
      <c r="B265" t="inlineStr">
        <is>
          <t>AP</t>
        </is>
      </c>
      <c r="D265" s="29">
        <f>D261*D23/365</f>
        <v/>
      </c>
      <c r="E265" s="29">
        <f>E261*E23/365</f>
        <v/>
      </c>
      <c r="F265" s="29">
        <f>F261*F23/365</f>
        <v/>
      </c>
      <c r="G265" s="29">
        <f>G261*G23/365</f>
        <v/>
      </c>
      <c r="H265" s="29">
        <f>H261*H23/365</f>
        <v/>
      </c>
      <c r="I265" s="29">
        <f>I261*I23/365</f>
        <v/>
      </c>
      <c r="J265" s="29">
        <f>J261*J23/365</f>
        <v/>
      </c>
      <c r="K265" s="29">
        <f>K261*K23/365</f>
        <v/>
      </c>
      <c r="L265" s="29">
        <f>L261*L23/365</f>
        <v/>
      </c>
    </row>
    <row r="266">
      <c r="B266" t="inlineStr">
        <is>
          <t>dAR</t>
        </is>
      </c>
      <c r="D266" s="29">
        <f>D264-N(C264)</f>
        <v/>
      </c>
      <c r="E266" s="29">
        <f>E264-N(D264)</f>
        <v/>
      </c>
      <c r="F266" s="29">
        <f>F264-N(E264)</f>
        <v/>
      </c>
      <c r="G266" s="29">
        <f>G264-N(F264)</f>
        <v/>
      </c>
      <c r="H266" s="29">
        <f>H264-N(G264)</f>
        <v/>
      </c>
      <c r="I266" s="29">
        <f>I264-N(H264)</f>
        <v/>
      </c>
      <c r="J266" s="29">
        <f>J264-N(I264)</f>
        <v/>
      </c>
      <c r="K266" s="29">
        <f>K264-N(J264)</f>
        <v/>
      </c>
      <c r="L266" s="29">
        <f>L264-N(K264)</f>
        <v/>
      </c>
    </row>
    <row r="267">
      <c r="B267" t="inlineStr">
        <is>
          <t>dAP</t>
        </is>
      </c>
      <c r="D267" s="29">
        <f>D265-N(C265)</f>
        <v/>
      </c>
      <c r="E267" s="29">
        <f>E265-N(D265)</f>
        <v/>
      </c>
      <c r="F267" s="29">
        <f>F265-N(E265)</f>
        <v/>
      </c>
      <c r="G267" s="29">
        <f>G265-N(F265)</f>
        <v/>
      </c>
      <c r="H267" s="29">
        <f>H265-N(G265)</f>
        <v/>
      </c>
      <c r="I267" s="29">
        <f>I265-N(H265)</f>
        <v/>
      </c>
      <c r="J267" s="29">
        <f>J265-N(I265)</f>
        <v/>
      </c>
      <c r="K267" s="29">
        <f>K265-N(J265)</f>
        <v/>
      </c>
      <c r="L267" s="29">
        <f>L265-N(K265)</f>
        <v/>
      </c>
    </row>
    <row r="268">
      <c r="B268" t="inlineStr">
        <is>
          <t>CFO</t>
        </is>
      </c>
      <c r="D268" s="29">
        <f>D263-D266+D267</f>
        <v/>
      </c>
      <c r="E268" s="29">
        <f>E263-E266+E267</f>
        <v/>
      </c>
      <c r="F268" s="29">
        <f>F263-F266+F267</f>
        <v/>
      </c>
      <c r="G268" s="29">
        <f>G263-G266+G267</f>
        <v/>
      </c>
      <c r="H268" s="29">
        <f>H263-H266+H267</f>
        <v/>
      </c>
      <c r="I268" s="29">
        <f>I263-I266+I267</f>
        <v/>
      </c>
      <c r="J268" s="29">
        <f>J263-J266+J267</f>
        <v/>
      </c>
      <c r="K268" s="29">
        <f>K263-K266+K267</f>
        <v/>
      </c>
      <c r="L268" s="29">
        <f>L263-L266+L267</f>
        <v/>
      </c>
    </row>
    <row r="269">
      <c r="B269" t="inlineStr">
        <is>
          <t>CAPEX</t>
        </is>
      </c>
      <c r="D269" s="29">
        <f>D63</f>
        <v/>
      </c>
      <c r="E269" s="29">
        <f>E63</f>
        <v/>
      </c>
      <c r="F269" s="29">
        <f>F63</f>
        <v/>
      </c>
      <c r="G269" s="29">
        <f>G63</f>
        <v/>
      </c>
      <c r="H269" s="29">
        <f>H63</f>
        <v/>
      </c>
      <c r="I269" s="29">
        <f>I63</f>
        <v/>
      </c>
      <c r="J269" s="29">
        <f>J63</f>
        <v/>
      </c>
      <c r="K269" s="29">
        <f>K63</f>
        <v/>
      </c>
      <c r="L269" s="29">
        <f>L63</f>
        <v/>
      </c>
    </row>
    <row r="270">
      <c r="B270" t="inlineStr">
        <is>
          <t>Equity in</t>
        </is>
      </c>
      <c r="D270" s="29">
        <f>IF(D5=2022,1000000,0)</f>
        <v/>
      </c>
      <c r="E270" s="29">
        <f>IF(E5=2022,1000000,0)</f>
        <v/>
      </c>
      <c r="F270" s="29">
        <f>IF(F5=2022,1000000,0)</f>
        <v/>
      </c>
      <c r="G270" s="29">
        <f>IF(G5=2022,1000000,0)</f>
        <v/>
      </c>
      <c r="H270" s="29">
        <f>IF(H5=2022,1000000,0)</f>
        <v/>
      </c>
      <c r="I270" s="29">
        <f>IF(I5=2022,1000000,0)</f>
        <v/>
      </c>
      <c r="J270" s="29">
        <f>IF(J5=2022,1000000,0)</f>
        <v/>
      </c>
      <c r="K270" s="29">
        <f>IF(K5=2022,1000000,0)</f>
        <v/>
      </c>
      <c r="L270" s="29">
        <f>IF(L5=2022,1000000,0)</f>
        <v/>
      </c>
    </row>
    <row r="271">
      <c r="B271" t="inlineStr">
        <is>
          <t>Cash start</t>
        </is>
      </c>
      <c r="D271" s="29">
        <f>IF(D5=2022,0,C280)</f>
        <v/>
      </c>
      <c r="E271" s="29">
        <f>IF(E5=2022,0,D280)</f>
        <v/>
      </c>
      <c r="F271" s="29">
        <f>IF(F5=2022,0,E280)</f>
        <v/>
      </c>
      <c r="G271" s="29">
        <f>IF(G5=2022,0,F280)</f>
        <v/>
      </c>
      <c r="H271" s="29">
        <f>IF(H5=2022,0,G280)</f>
        <v/>
      </c>
      <c r="I271" s="29">
        <f>IF(I5=2022,0,H280)</f>
        <v/>
      </c>
      <c r="J271" s="29">
        <f>IF(J5=2022,0,I280)</f>
        <v/>
      </c>
      <c r="K271" s="29">
        <f>IF(K5=2022,0,J280)</f>
        <v/>
      </c>
      <c r="L271" s="29">
        <f>IF(L5=2022,0,K280)</f>
        <v/>
      </c>
    </row>
    <row r="272">
      <c r="B272" t="inlineStr">
        <is>
          <t>Debt start</t>
        </is>
      </c>
      <c r="D272" s="29">
        <f>IF(D5=2022,0,C274)</f>
        <v/>
      </c>
      <c r="E272" s="29">
        <f>IF(E5=2022,0,D274)</f>
        <v/>
      </c>
      <c r="F272" s="29">
        <f>IF(F5=2022,0,E274)</f>
        <v/>
      </c>
      <c r="G272" s="29">
        <f>IF(G5=2022,0,F274)</f>
        <v/>
      </c>
      <c r="H272" s="29">
        <f>IF(H5=2022,0,G274)</f>
        <v/>
      </c>
      <c r="I272" s="29">
        <f>IF(I5=2022,0,H274)</f>
        <v/>
      </c>
      <c r="J272" s="29">
        <f>IF(J5=2022,0,I274)</f>
        <v/>
      </c>
      <c r="K272" s="29">
        <f>IF(K5=2022,0,J274)</f>
        <v/>
      </c>
      <c r="L272" s="29">
        <f>IF(L5=2022,0,K274)</f>
        <v/>
      </c>
    </row>
    <row r="273">
      <c r="B273" t="inlineStr">
        <is>
          <t>Pre-debt cash</t>
        </is>
      </c>
      <c r="D273" s="29">
        <f>D271+D268-D269+D270</f>
        <v/>
      </c>
      <c r="E273" s="29">
        <f>E271+E268-E269+E270</f>
        <v/>
      </c>
      <c r="F273" s="29">
        <f>F271+F268-F269+F270</f>
        <v/>
      </c>
      <c r="G273" s="29">
        <f>G271+G268-G269+G270</f>
        <v/>
      </c>
      <c r="H273" s="29">
        <f>H271+H268-H269+H270</f>
        <v/>
      </c>
      <c r="I273" s="29">
        <f>I271+I268-I269+I270</f>
        <v/>
      </c>
      <c r="J273" s="29">
        <f>J271+J268-J269+J270</f>
        <v/>
      </c>
      <c r="K273" s="29">
        <f>K271+K268-K269+K270</f>
        <v/>
      </c>
      <c r="L273" s="29">
        <f>L271+L268-L269+L270</f>
        <v/>
      </c>
    </row>
    <row r="274">
      <c r="B274" t="inlineStr">
        <is>
          <t>Debt end</t>
        </is>
      </c>
      <c r="D274" s="29">
        <f>IF(D273&gt;=D272,0,(D272-D273)/(1-D14))</f>
        <v/>
      </c>
      <c r="E274" s="29">
        <f>IF(E273&gt;=E272,0,(E272-E273)/(1-E14))</f>
        <v/>
      </c>
      <c r="F274" s="29">
        <f>IF(F273&gt;=F272,0,(F272-F273)/(1-F14))</f>
        <v/>
      </c>
      <c r="G274" s="29">
        <f>IF(G273&gt;=G272,0,(G272-G273)/(1-G14))</f>
        <v/>
      </c>
      <c r="H274" s="29">
        <f>IF(H273&gt;=H272,0,(H272-H273)/(1-H14))</f>
        <v/>
      </c>
      <c r="I274" s="29">
        <f>IF(I273&gt;=I272,0,(I272-I273)/(1-I14))</f>
        <v/>
      </c>
      <c r="J274" s="29">
        <f>IF(J273&gt;=J272,0,(J272-J273)/(1-J14))</f>
        <v/>
      </c>
      <c r="K274" s="29">
        <f>IF(K273&gt;=K272,0,(K272-K273)/(1-K14))</f>
        <v/>
      </c>
      <c r="L274" s="29">
        <f>IF(L273&gt;=L272,0,(L272-L273)/(1-L14))</f>
        <v/>
      </c>
    </row>
    <row r="275">
      <c r="B275" t="inlineStr">
        <is>
          <t>Interest</t>
        </is>
      </c>
      <c r="D275" s="29">
        <f>D274*D14</f>
        <v/>
      </c>
      <c r="E275" s="29">
        <f>E274*E14</f>
        <v/>
      </c>
      <c r="F275" s="29">
        <f>F274*F14</f>
        <v/>
      </c>
      <c r="G275" s="29">
        <f>G274*G14</f>
        <v/>
      </c>
      <c r="H275" s="29">
        <f>H274*H14</f>
        <v/>
      </c>
      <c r="I275" s="29">
        <f>I274*I14</f>
        <v/>
      </c>
      <c r="J275" s="29">
        <f>J274*J14</f>
        <v/>
      </c>
      <c r="K275" s="29">
        <f>K274*K14</f>
        <v/>
      </c>
      <c r="L275" s="29">
        <f>L274*L14</f>
        <v/>
      </c>
    </row>
    <row r="276">
      <c r="B276" t="inlineStr">
        <is>
          <t>Debt draw</t>
        </is>
      </c>
      <c r="D276" s="29">
        <f>MAX(0,D274-D272)</f>
        <v/>
      </c>
      <c r="E276" s="29">
        <f>MAX(0,E274-E272)</f>
        <v/>
      </c>
      <c r="F276" s="29">
        <f>MAX(0,F274-F272)</f>
        <v/>
      </c>
      <c r="G276" s="29">
        <f>MAX(0,G274-G272)</f>
        <v/>
      </c>
      <c r="H276" s="29">
        <f>MAX(0,H274-H272)</f>
        <v/>
      </c>
      <c r="I276" s="29">
        <f>MAX(0,I274-I272)</f>
        <v/>
      </c>
      <c r="J276" s="29">
        <f>MAX(0,J274-J272)</f>
        <v/>
      </c>
      <c r="K276" s="29">
        <f>MAX(0,K274-K272)</f>
        <v/>
      </c>
      <c r="L276" s="29">
        <f>MAX(0,L274-L272)</f>
        <v/>
      </c>
    </row>
    <row r="277">
      <c r="B277" t="inlineStr">
        <is>
          <t>Debt repay</t>
        </is>
      </c>
      <c r="D277" s="29">
        <f>MAX(0,D272-D274)</f>
        <v/>
      </c>
      <c r="E277" s="29">
        <f>MAX(0,E272-E274)</f>
        <v/>
      </c>
      <c r="F277" s="29">
        <f>MAX(0,F272-F274)</f>
        <v/>
      </c>
      <c r="G277" s="29">
        <f>MAX(0,G272-G274)</f>
        <v/>
      </c>
      <c r="H277" s="29">
        <f>MAX(0,H272-H274)</f>
        <v/>
      </c>
      <c r="I277" s="29">
        <f>MAX(0,I272-I274)</f>
        <v/>
      </c>
      <c r="J277" s="29">
        <f>MAX(0,J272-J274)</f>
        <v/>
      </c>
      <c r="K277" s="29">
        <f>MAX(0,K272-K274)</f>
        <v/>
      </c>
      <c r="L277" s="29">
        <f>MAX(0,L272-L274)</f>
        <v/>
      </c>
    </row>
    <row r="278">
      <c r="B278" t="inlineStr">
        <is>
          <t>Post-debt cash</t>
        </is>
      </c>
      <c r="D278" s="29">
        <f>MAX(0,D273-D272)</f>
        <v/>
      </c>
      <c r="E278" s="29">
        <f>MAX(0,E273-E272)</f>
        <v/>
      </c>
      <c r="F278" s="29">
        <f>MAX(0,F273-F272)</f>
        <v/>
      </c>
      <c r="G278" s="29">
        <f>MAX(0,G273-G272)</f>
        <v/>
      </c>
      <c r="H278" s="29">
        <f>MAX(0,H273-H272)</f>
        <v/>
      </c>
      <c r="I278" s="29">
        <f>MAX(0,I273-I272)</f>
        <v/>
      </c>
      <c r="J278" s="29">
        <f>MAX(0,J273-J272)</f>
        <v/>
      </c>
      <c r="K278" s="29">
        <f>MAX(0,K273-K272)</f>
        <v/>
      </c>
      <c r="L278" s="29">
        <f>MAX(0,L273-L272)</f>
        <v/>
      </c>
    </row>
    <row r="279">
      <c r="B279" t="inlineStr">
        <is>
          <t>Dividends</t>
        </is>
      </c>
      <c r="D279" s="29">
        <f>IF(D274&gt;0,0,MAX(0,(D278-0)*0.8))</f>
        <v/>
      </c>
      <c r="E279" s="29">
        <f>IF(E274&gt;0,0,MAX(0,(E278-0)*0.8))</f>
        <v/>
      </c>
      <c r="F279" s="29">
        <f>IF(F274&gt;0,0,MAX(0,(F278-0)*0.8))</f>
        <v/>
      </c>
      <c r="G279" s="29">
        <f>IF(G274&gt;0,0,MAX(0,(G278-0)*0.8))</f>
        <v/>
      </c>
      <c r="H279" s="29">
        <f>IF(H274&gt;0,0,MAX(0,(H278-0)*0.8))</f>
        <v/>
      </c>
      <c r="I279" s="29">
        <f>IF(I274&gt;0,0,MAX(0,(I278-0)*0.8))</f>
        <v/>
      </c>
      <c r="J279" s="29">
        <f>IF(J274&gt;0,0,MAX(0,(J278-0)*0.8))</f>
        <v/>
      </c>
      <c r="K279" s="29">
        <f>IF(K274&gt;0,0,MAX(0,(K278-0)*0.8))</f>
        <v/>
      </c>
      <c r="L279" s="29">
        <f>IF(L274&gt;0,0,MAX(0,(L278-0)*0.8))</f>
        <v/>
      </c>
    </row>
    <row r="280">
      <c r="B280" t="inlineStr">
        <is>
          <t>Cash end</t>
        </is>
      </c>
      <c r="D280" s="29">
        <f>D273+D276-D277-D275-D279</f>
        <v/>
      </c>
      <c r="E280" s="29">
        <f>E273+E276-E277-E275-E279</f>
        <v/>
      </c>
      <c r="F280" s="29">
        <f>F273+F276-F277-F275-F279</f>
        <v/>
      </c>
      <c r="G280" s="29">
        <f>G273+G276-G277-G275-G279</f>
        <v/>
      </c>
      <c r="H280" s="29">
        <f>H273+H276-H277-H275-H279</f>
        <v/>
      </c>
      <c r="I280" s="29">
        <f>I273+I276-I277-I275-I279</f>
        <v/>
      </c>
      <c r="J280" s="29">
        <f>J273+J276-J277-J275-J279</f>
        <v/>
      </c>
      <c r="K280" s="29">
        <f>K273+K276-K277-K275-K279</f>
        <v/>
      </c>
      <c r="L280" s="29">
        <f>L273+L276-L277-L275-L279</f>
        <v/>
      </c>
    </row>
    <row r="281">
      <c r="B281" t="inlineStr">
        <is>
          <t>Equity CF</t>
        </is>
      </c>
      <c r="D281" s="29">
        <f>-D270+D279</f>
        <v/>
      </c>
      <c r="E281" s="29">
        <f>-E270+E279</f>
        <v/>
      </c>
      <c r="F281" s="29">
        <f>-F270+F279</f>
        <v/>
      </c>
      <c r="G281" s="29">
        <f>-G270+G279</f>
        <v/>
      </c>
      <c r="H281" s="29">
        <f>-H270+H279</f>
        <v/>
      </c>
      <c r="I281" s="29">
        <f>-I270+I279</f>
        <v/>
      </c>
      <c r="J281" s="29">
        <f>-J270+J279</f>
        <v/>
      </c>
      <c r="K281" s="29">
        <f>-K270+K279</f>
        <v/>
      </c>
      <c r="L281" s="29">
        <f>-L270+L279</f>
        <v/>
      </c>
    </row>
    <row r="282">
      <c r="B282" t="inlineStr">
        <is>
          <t>PV Equity CF</t>
        </is>
      </c>
      <c r="D282" s="29">
        <f>D281/(1+D12)^(D5-2022)</f>
        <v/>
      </c>
      <c r="E282" s="29">
        <f>E281/(1+E12)^(E5-2022)</f>
        <v/>
      </c>
      <c r="F282" s="29">
        <f>F281/(1+F12)^(F5-2022)</f>
        <v/>
      </c>
      <c r="G282" s="29">
        <f>G281/(1+G12)^(G5-2022)</f>
        <v/>
      </c>
      <c r="H282" s="29">
        <f>H281/(1+H12)^(H5-2022)</f>
        <v/>
      </c>
      <c r="I282" s="29">
        <f>I281/(1+I12)^(I5-2022)</f>
        <v/>
      </c>
      <c r="J282" s="29">
        <f>J281/(1+J12)^(J5-2022)</f>
        <v/>
      </c>
      <c r="K282" s="29">
        <f>K281/(1+K12)^(K5-2022)</f>
        <v/>
      </c>
      <c r="L282" s="29">
        <f>L281/(1+L12)^(L5-2022)</f>
        <v/>
      </c>
    </row>
    <row r="283">
      <c r="B283" t="inlineStr">
        <is>
          <t>NPV Equity</t>
        </is>
      </c>
      <c r="C283">
        <f>SUM(D282:L282)</f>
        <v/>
      </c>
    </row>
    <row r="285">
      <c r="B285" s="31" t="inlineStr">
        <is>
          <t>ENGINE S2 x SC3</t>
        </is>
      </c>
      <c r="C285" t="inlineStr">
        <is>
          <t>pm=1.15, vm=1.05, dCost=-0.02, payout=0.8, reserve=0</t>
        </is>
      </c>
    </row>
    <row r="286">
      <c r="B286" t="inlineStr">
        <is>
          <t>Cost cum adj</t>
        </is>
      </c>
      <c r="D286" s="29">
        <f>(1+D7+-0.02)</f>
        <v/>
      </c>
      <c r="E286" s="29">
        <f>D286*(1+E7+-0.02)</f>
        <v/>
      </c>
      <c r="F286" s="29">
        <f>E286*(1+F7+-0.02)</f>
        <v/>
      </c>
      <c r="G286" s="29">
        <f>F286*(1+G7+-0.02)</f>
        <v/>
      </c>
      <c r="H286" s="29">
        <f>G286*(1+H7+-0.02)</f>
        <v/>
      </c>
      <c r="I286" s="29">
        <f>H286*(1+I7+-0.02)</f>
        <v/>
      </c>
      <c r="J286" s="29">
        <f>I286*(1+J7+-0.02)</f>
        <v/>
      </c>
      <c r="K286" s="29">
        <f>J286*(1+K7+-0.02)</f>
        <v/>
      </c>
      <c r="L286" s="29">
        <f>K286*(1+L7+-0.02)</f>
        <v/>
      </c>
    </row>
    <row r="287">
      <c r="B287" t="inlineStr">
        <is>
          <t>Revenue</t>
        </is>
      </c>
      <c r="D287" s="29">
        <f>D17*D18*1.05*D11*D10*1.15</f>
        <v/>
      </c>
      <c r="E287" s="29">
        <f>E17*E18*1.05*E11*E10*1.15</f>
        <v/>
      </c>
      <c r="F287" s="29">
        <f>F17*F18*1.05*F11*F10*1.15</f>
        <v/>
      </c>
      <c r="G287" s="29">
        <f>G17*G18*1.05*G11*G10*1.15</f>
        <v/>
      </c>
      <c r="H287" s="29">
        <f>H17*H18*1.05*H11*H10*1.15</f>
        <v/>
      </c>
      <c r="I287" s="29">
        <f>I17*I18*1.05*I11*I10*1.15</f>
        <v/>
      </c>
      <c r="J287" s="29">
        <f>J17*J18*1.05*J11*J10*1.15</f>
        <v/>
      </c>
      <c r="K287" s="29">
        <f>K17*K18*1.05*K11*K10*1.15</f>
        <v/>
      </c>
      <c r="L287" s="29">
        <f>L17*L18*1.05*L11*L10*1.15</f>
        <v/>
      </c>
    </row>
    <row r="288">
      <c r="B288" t="inlineStr">
        <is>
          <t>OPEX</t>
        </is>
      </c>
      <c r="D288" s="29">
        <f>D17*1000*D19*D286*1.05+D17*D18*1.05*D20*D286+D21*D286</f>
        <v/>
      </c>
      <c r="E288" s="29">
        <f>E17*1000*E19*E286*1.05+E17*E18*1.05*E20*E286+E21*E286</f>
        <v/>
      </c>
      <c r="F288" s="29">
        <f>F17*1000*F19*F286*1.05+F17*F18*1.05*F20*F286+F21*F286</f>
        <v/>
      </c>
      <c r="G288" s="29">
        <f>G17*1000*G19*G286*1.05+G17*G18*1.05*G20*G286+G21*G286</f>
        <v/>
      </c>
      <c r="H288" s="29">
        <f>H17*1000*H19*H286*1.05+H17*H18*1.05*H20*H286+H21*H286</f>
        <v/>
      </c>
      <c r="I288" s="29">
        <f>I17*1000*I19*I286*1.05+I17*I18*1.05*I20*I286+I21*I286</f>
        <v/>
      </c>
      <c r="J288" s="29">
        <f>J17*1000*J19*J286*1.05+J17*J18*1.05*J20*J286+J21*J286</f>
        <v/>
      </c>
      <c r="K288" s="29">
        <f>K17*1000*K19*K286*1.05+K17*K18*1.05*K20*K286+K21*K286</f>
        <v/>
      </c>
      <c r="L288" s="29">
        <f>L17*1000*L19*L286*1.05+L17*L18*1.05*L20*L286+L21*L286</f>
        <v/>
      </c>
    </row>
    <row r="289">
      <c r="B289" t="inlineStr">
        <is>
          <t>NDPI</t>
        </is>
      </c>
      <c r="D289" s="29">
        <f>D287*D13</f>
        <v/>
      </c>
      <c r="E289" s="29">
        <f>E287*E13</f>
        <v/>
      </c>
      <c r="F289" s="29">
        <f>F287*F13</f>
        <v/>
      </c>
      <c r="G289" s="29">
        <f>G287*G13</f>
        <v/>
      </c>
      <c r="H289" s="29">
        <f>H287*H13</f>
        <v/>
      </c>
      <c r="I289" s="29">
        <f>I287*I13</f>
        <v/>
      </c>
      <c r="J289" s="29">
        <f>J287*J13</f>
        <v/>
      </c>
      <c r="K289" s="29">
        <f>K287*K13</f>
        <v/>
      </c>
      <c r="L289" s="29">
        <f>L287*L13</f>
        <v/>
      </c>
    </row>
    <row r="290">
      <c r="B290" t="inlineStr">
        <is>
          <t>EBIT</t>
        </is>
      </c>
      <c r="D290" s="29">
        <f>D287-D288-D289</f>
        <v/>
      </c>
      <c r="E290" s="29">
        <f>E287-E288-E289</f>
        <v/>
      </c>
      <c r="F290" s="29">
        <f>F287-F288-F289</f>
        <v/>
      </c>
      <c r="G290" s="29">
        <f>G287-G288-G289</f>
        <v/>
      </c>
      <c r="H290" s="29">
        <f>H287-H288-H289</f>
        <v/>
      </c>
      <c r="I290" s="29">
        <f>I287-I288-I289</f>
        <v/>
      </c>
      <c r="J290" s="29">
        <f>J287-J288-J289</f>
        <v/>
      </c>
      <c r="K290" s="29">
        <f>K287-K288-K289</f>
        <v/>
      </c>
      <c r="L290" s="29">
        <f>L287-L288-L289</f>
        <v/>
      </c>
    </row>
    <row r="291">
      <c r="B291" t="inlineStr">
        <is>
          <t>AR</t>
        </is>
      </c>
      <c r="D291" s="29">
        <f>D287*D22/365</f>
        <v/>
      </c>
      <c r="E291" s="29">
        <f>E287*E22/365</f>
        <v/>
      </c>
      <c r="F291" s="29">
        <f>F287*F22/365</f>
        <v/>
      </c>
      <c r="G291" s="29">
        <f>G287*G22/365</f>
        <v/>
      </c>
      <c r="H291" s="29">
        <f>H287*H22/365</f>
        <v/>
      </c>
      <c r="I291" s="29">
        <f>I287*I22/365</f>
        <v/>
      </c>
      <c r="J291" s="29">
        <f>J287*J22/365</f>
        <v/>
      </c>
      <c r="K291" s="29">
        <f>K287*K22/365</f>
        <v/>
      </c>
      <c r="L291" s="29">
        <f>L287*L22/365</f>
        <v/>
      </c>
    </row>
    <row r="292">
      <c r="B292" t="inlineStr">
        <is>
          <t>AP</t>
        </is>
      </c>
      <c r="D292" s="29">
        <f>D288*D23/365</f>
        <v/>
      </c>
      <c r="E292" s="29">
        <f>E288*E23/365</f>
        <v/>
      </c>
      <c r="F292" s="29">
        <f>F288*F23/365</f>
        <v/>
      </c>
      <c r="G292" s="29">
        <f>G288*G23/365</f>
        <v/>
      </c>
      <c r="H292" s="29">
        <f>H288*H23/365</f>
        <v/>
      </c>
      <c r="I292" s="29">
        <f>I288*I23/365</f>
        <v/>
      </c>
      <c r="J292" s="29">
        <f>J288*J23/365</f>
        <v/>
      </c>
      <c r="K292" s="29">
        <f>K288*K23/365</f>
        <v/>
      </c>
      <c r="L292" s="29">
        <f>L288*L23/365</f>
        <v/>
      </c>
    </row>
    <row r="293">
      <c r="B293" t="inlineStr">
        <is>
          <t>dAR</t>
        </is>
      </c>
      <c r="D293" s="29">
        <f>D291-N(C291)</f>
        <v/>
      </c>
      <c r="E293" s="29">
        <f>E291-N(D291)</f>
        <v/>
      </c>
      <c r="F293" s="29">
        <f>F291-N(E291)</f>
        <v/>
      </c>
      <c r="G293" s="29">
        <f>G291-N(F291)</f>
        <v/>
      </c>
      <c r="H293" s="29">
        <f>H291-N(G291)</f>
        <v/>
      </c>
      <c r="I293" s="29">
        <f>I291-N(H291)</f>
        <v/>
      </c>
      <c r="J293" s="29">
        <f>J291-N(I291)</f>
        <v/>
      </c>
      <c r="K293" s="29">
        <f>K291-N(J291)</f>
        <v/>
      </c>
      <c r="L293" s="29">
        <f>L291-N(K291)</f>
        <v/>
      </c>
    </row>
    <row r="294">
      <c r="B294" t="inlineStr">
        <is>
          <t>dAP</t>
        </is>
      </c>
      <c r="D294" s="29">
        <f>D292-N(C292)</f>
        <v/>
      </c>
      <c r="E294" s="29">
        <f>E292-N(D292)</f>
        <v/>
      </c>
      <c r="F294" s="29">
        <f>F292-N(E292)</f>
        <v/>
      </c>
      <c r="G294" s="29">
        <f>G292-N(F292)</f>
        <v/>
      </c>
      <c r="H294" s="29">
        <f>H292-N(G292)</f>
        <v/>
      </c>
      <c r="I294" s="29">
        <f>I292-N(H292)</f>
        <v/>
      </c>
      <c r="J294" s="29">
        <f>J292-N(I292)</f>
        <v/>
      </c>
      <c r="K294" s="29">
        <f>K292-N(J292)</f>
        <v/>
      </c>
      <c r="L294" s="29">
        <f>L292-N(K292)</f>
        <v/>
      </c>
    </row>
    <row r="295">
      <c r="B295" t="inlineStr">
        <is>
          <t>CFO</t>
        </is>
      </c>
      <c r="D295" s="29">
        <f>D290-D293+D294</f>
        <v/>
      </c>
      <c r="E295" s="29">
        <f>E290-E293+E294</f>
        <v/>
      </c>
      <c r="F295" s="29">
        <f>F290-F293+F294</f>
        <v/>
      </c>
      <c r="G295" s="29">
        <f>G290-G293+G294</f>
        <v/>
      </c>
      <c r="H295" s="29">
        <f>H290-H293+H294</f>
        <v/>
      </c>
      <c r="I295" s="29">
        <f>I290-I293+I294</f>
        <v/>
      </c>
      <c r="J295" s="29">
        <f>J290-J293+J294</f>
        <v/>
      </c>
      <c r="K295" s="29">
        <f>K290-K293+K294</f>
        <v/>
      </c>
      <c r="L295" s="29">
        <f>L290-L293+L294</f>
        <v/>
      </c>
    </row>
    <row r="296">
      <c r="B296" t="inlineStr">
        <is>
          <t>CAPEX</t>
        </is>
      </c>
      <c r="D296" s="29">
        <f>D63</f>
        <v/>
      </c>
      <c r="E296" s="29">
        <f>E63</f>
        <v/>
      </c>
      <c r="F296" s="29">
        <f>F63</f>
        <v/>
      </c>
      <c r="G296" s="29">
        <f>G63</f>
        <v/>
      </c>
      <c r="H296" s="29">
        <f>H63</f>
        <v/>
      </c>
      <c r="I296" s="29">
        <f>I63</f>
        <v/>
      </c>
      <c r="J296" s="29">
        <f>J63</f>
        <v/>
      </c>
      <c r="K296" s="29">
        <f>K63</f>
        <v/>
      </c>
      <c r="L296" s="29">
        <f>L63</f>
        <v/>
      </c>
    </row>
    <row r="297">
      <c r="B297" t="inlineStr">
        <is>
          <t>Equity in</t>
        </is>
      </c>
      <c r="D297" s="29">
        <f>IF(D5=2022,1000000,0)</f>
        <v/>
      </c>
      <c r="E297" s="29">
        <f>IF(E5=2022,1000000,0)</f>
        <v/>
      </c>
      <c r="F297" s="29">
        <f>IF(F5=2022,1000000,0)</f>
        <v/>
      </c>
      <c r="G297" s="29">
        <f>IF(G5=2022,1000000,0)</f>
        <v/>
      </c>
      <c r="H297" s="29">
        <f>IF(H5=2022,1000000,0)</f>
        <v/>
      </c>
      <c r="I297" s="29">
        <f>IF(I5=2022,1000000,0)</f>
        <v/>
      </c>
      <c r="J297" s="29">
        <f>IF(J5=2022,1000000,0)</f>
        <v/>
      </c>
      <c r="K297" s="29">
        <f>IF(K5=2022,1000000,0)</f>
        <v/>
      </c>
      <c r="L297" s="29">
        <f>IF(L5=2022,1000000,0)</f>
        <v/>
      </c>
    </row>
    <row r="298">
      <c r="B298" t="inlineStr">
        <is>
          <t>Cash start</t>
        </is>
      </c>
      <c r="D298" s="29">
        <f>IF(D5=2022,0,C307)</f>
        <v/>
      </c>
      <c r="E298" s="29">
        <f>IF(E5=2022,0,D307)</f>
        <v/>
      </c>
      <c r="F298" s="29">
        <f>IF(F5=2022,0,E307)</f>
        <v/>
      </c>
      <c r="G298" s="29">
        <f>IF(G5=2022,0,F307)</f>
        <v/>
      </c>
      <c r="H298" s="29">
        <f>IF(H5=2022,0,G307)</f>
        <v/>
      </c>
      <c r="I298" s="29">
        <f>IF(I5=2022,0,H307)</f>
        <v/>
      </c>
      <c r="J298" s="29">
        <f>IF(J5=2022,0,I307)</f>
        <v/>
      </c>
      <c r="K298" s="29">
        <f>IF(K5=2022,0,J307)</f>
        <v/>
      </c>
      <c r="L298" s="29">
        <f>IF(L5=2022,0,K307)</f>
        <v/>
      </c>
    </row>
    <row r="299">
      <c r="B299" t="inlineStr">
        <is>
          <t>Debt start</t>
        </is>
      </c>
      <c r="D299" s="29">
        <f>IF(D5=2022,0,C301)</f>
        <v/>
      </c>
      <c r="E299" s="29">
        <f>IF(E5=2022,0,D301)</f>
        <v/>
      </c>
      <c r="F299" s="29">
        <f>IF(F5=2022,0,E301)</f>
        <v/>
      </c>
      <c r="G299" s="29">
        <f>IF(G5=2022,0,F301)</f>
        <v/>
      </c>
      <c r="H299" s="29">
        <f>IF(H5=2022,0,G301)</f>
        <v/>
      </c>
      <c r="I299" s="29">
        <f>IF(I5=2022,0,H301)</f>
        <v/>
      </c>
      <c r="J299" s="29">
        <f>IF(J5=2022,0,I301)</f>
        <v/>
      </c>
      <c r="K299" s="29">
        <f>IF(K5=2022,0,J301)</f>
        <v/>
      </c>
      <c r="L299" s="29">
        <f>IF(L5=2022,0,K301)</f>
        <v/>
      </c>
    </row>
    <row r="300">
      <c r="B300" t="inlineStr">
        <is>
          <t>Pre-debt cash</t>
        </is>
      </c>
      <c r="D300" s="29">
        <f>D298+D295-D296+D297</f>
        <v/>
      </c>
      <c r="E300" s="29">
        <f>E298+E295-E296+E297</f>
        <v/>
      </c>
      <c r="F300" s="29">
        <f>F298+F295-F296+F297</f>
        <v/>
      </c>
      <c r="G300" s="29">
        <f>G298+G295-G296+G297</f>
        <v/>
      </c>
      <c r="H300" s="29">
        <f>H298+H295-H296+H297</f>
        <v/>
      </c>
      <c r="I300" s="29">
        <f>I298+I295-I296+I297</f>
        <v/>
      </c>
      <c r="J300" s="29">
        <f>J298+J295-J296+J297</f>
        <v/>
      </c>
      <c r="K300" s="29">
        <f>K298+K295-K296+K297</f>
        <v/>
      </c>
      <c r="L300" s="29">
        <f>L298+L295-L296+L297</f>
        <v/>
      </c>
    </row>
    <row r="301">
      <c r="B301" t="inlineStr">
        <is>
          <t>Debt end</t>
        </is>
      </c>
      <c r="D301" s="29">
        <f>IF(D300&gt;=D299,0,(D299-D300)/(1-D14))</f>
        <v/>
      </c>
      <c r="E301" s="29">
        <f>IF(E300&gt;=E299,0,(E299-E300)/(1-E14))</f>
        <v/>
      </c>
      <c r="F301" s="29">
        <f>IF(F300&gt;=F299,0,(F299-F300)/(1-F14))</f>
        <v/>
      </c>
      <c r="G301" s="29">
        <f>IF(G300&gt;=G299,0,(G299-G300)/(1-G14))</f>
        <v/>
      </c>
      <c r="H301" s="29">
        <f>IF(H300&gt;=H299,0,(H299-H300)/(1-H14))</f>
        <v/>
      </c>
      <c r="I301" s="29">
        <f>IF(I300&gt;=I299,0,(I299-I300)/(1-I14))</f>
        <v/>
      </c>
      <c r="J301" s="29">
        <f>IF(J300&gt;=J299,0,(J299-J300)/(1-J14))</f>
        <v/>
      </c>
      <c r="K301" s="29">
        <f>IF(K300&gt;=K299,0,(K299-K300)/(1-K14))</f>
        <v/>
      </c>
      <c r="L301" s="29">
        <f>IF(L300&gt;=L299,0,(L299-L300)/(1-L14))</f>
        <v/>
      </c>
    </row>
    <row r="302">
      <c r="B302" t="inlineStr">
        <is>
          <t>Interest</t>
        </is>
      </c>
      <c r="D302" s="29">
        <f>D301*D14</f>
        <v/>
      </c>
      <c r="E302" s="29">
        <f>E301*E14</f>
        <v/>
      </c>
      <c r="F302" s="29">
        <f>F301*F14</f>
        <v/>
      </c>
      <c r="G302" s="29">
        <f>G301*G14</f>
        <v/>
      </c>
      <c r="H302" s="29">
        <f>H301*H14</f>
        <v/>
      </c>
      <c r="I302" s="29">
        <f>I301*I14</f>
        <v/>
      </c>
      <c r="J302" s="29">
        <f>J301*J14</f>
        <v/>
      </c>
      <c r="K302" s="29">
        <f>K301*K14</f>
        <v/>
      </c>
      <c r="L302" s="29">
        <f>L301*L14</f>
        <v/>
      </c>
    </row>
    <row r="303">
      <c r="B303" t="inlineStr">
        <is>
          <t>Debt draw</t>
        </is>
      </c>
      <c r="D303" s="29">
        <f>MAX(0,D301-D299)</f>
        <v/>
      </c>
      <c r="E303" s="29">
        <f>MAX(0,E301-E299)</f>
        <v/>
      </c>
      <c r="F303" s="29">
        <f>MAX(0,F301-F299)</f>
        <v/>
      </c>
      <c r="G303" s="29">
        <f>MAX(0,G301-G299)</f>
        <v/>
      </c>
      <c r="H303" s="29">
        <f>MAX(0,H301-H299)</f>
        <v/>
      </c>
      <c r="I303" s="29">
        <f>MAX(0,I301-I299)</f>
        <v/>
      </c>
      <c r="J303" s="29">
        <f>MAX(0,J301-J299)</f>
        <v/>
      </c>
      <c r="K303" s="29">
        <f>MAX(0,K301-K299)</f>
        <v/>
      </c>
      <c r="L303" s="29">
        <f>MAX(0,L301-L299)</f>
        <v/>
      </c>
    </row>
    <row r="304">
      <c r="B304" t="inlineStr">
        <is>
          <t>Debt repay</t>
        </is>
      </c>
      <c r="D304" s="29">
        <f>MAX(0,D299-D301)</f>
        <v/>
      </c>
      <c r="E304" s="29">
        <f>MAX(0,E299-E301)</f>
        <v/>
      </c>
      <c r="F304" s="29">
        <f>MAX(0,F299-F301)</f>
        <v/>
      </c>
      <c r="G304" s="29">
        <f>MAX(0,G299-G301)</f>
        <v/>
      </c>
      <c r="H304" s="29">
        <f>MAX(0,H299-H301)</f>
        <v/>
      </c>
      <c r="I304" s="29">
        <f>MAX(0,I299-I301)</f>
        <v/>
      </c>
      <c r="J304" s="29">
        <f>MAX(0,J299-J301)</f>
        <v/>
      </c>
      <c r="K304" s="29">
        <f>MAX(0,K299-K301)</f>
        <v/>
      </c>
      <c r="L304" s="29">
        <f>MAX(0,L299-L301)</f>
        <v/>
      </c>
    </row>
    <row r="305">
      <c r="B305" t="inlineStr">
        <is>
          <t>Post-debt cash</t>
        </is>
      </c>
      <c r="D305" s="29">
        <f>MAX(0,D300-D299)</f>
        <v/>
      </c>
      <c r="E305" s="29">
        <f>MAX(0,E300-E299)</f>
        <v/>
      </c>
      <c r="F305" s="29">
        <f>MAX(0,F300-F299)</f>
        <v/>
      </c>
      <c r="G305" s="29">
        <f>MAX(0,G300-G299)</f>
        <v/>
      </c>
      <c r="H305" s="29">
        <f>MAX(0,H300-H299)</f>
        <v/>
      </c>
      <c r="I305" s="29">
        <f>MAX(0,I300-I299)</f>
        <v/>
      </c>
      <c r="J305" s="29">
        <f>MAX(0,J300-J299)</f>
        <v/>
      </c>
      <c r="K305" s="29">
        <f>MAX(0,K300-K299)</f>
        <v/>
      </c>
      <c r="L305" s="29">
        <f>MAX(0,L300-L299)</f>
        <v/>
      </c>
    </row>
    <row r="306">
      <c r="B306" t="inlineStr">
        <is>
          <t>Dividends</t>
        </is>
      </c>
      <c r="D306" s="29">
        <f>IF(D301&gt;0,0,MAX(0,(D305-0)*0.8))</f>
        <v/>
      </c>
      <c r="E306" s="29">
        <f>IF(E301&gt;0,0,MAX(0,(E305-0)*0.8))</f>
        <v/>
      </c>
      <c r="F306" s="29">
        <f>IF(F301&gt;0,0,MAX(0,(F305-0)*0.8))</f>
        <v/>
      </c>
      <c r="G306" s="29">
        <f>IF(G301&gt;0,0,MAX(0,(G305-0)*0.8))</f>
        <v/>
      </c>
      <c r="H306" s="29">
        <f>IF(H301&gt;0,0,MAX(0,(H305-0)*0.8))</f>
        <v/>
      </c>
      <c r="I306" s="29">
        <f>IF(I301&gt;0,0,MAX(0,(I305-0)*0.8))</f>
        <v/>
      </c>
      <c r="J306" s="29">
        <f>IF(J301&gt;0,0,MAX(0,(J305-0)*0.8))</f>
        <v/>
      </c>
      <c r="K306" s="29">
        <f>IF(K301&gt;0,0,MAX(0,(K305-0)*0.8))</f>
        <v/>
      </c>
      <c r="L306" s="29">
        <f>IF(L301&gt;0,0,MAX(0,(L305-0)*0.8))</f>
        <v/>
      </c>
    </row>
    <row r="307">
      <c r="B307" t="inlineStr">
        <is>
          <t>Cash end</t>
        </is>
      </c>
      <c r="D307" s="29">
        <f>D300+D303-D304-D302-D306</f>
        <v/>
      </c>
      <c r="E307" s="29">
        <f>E300+E303-E304-E302-E306</f>
        <v/>
      </c>
      <c r="F307" s="29">
        <f>F300+F303-F304-F302-F306</f>
        <v/>
      </c>
      <c r="G307" s="29">
        <f>G300+G303-G304-G302-G306</f>
        <v/>
      </c>
      <c r="H307" s="29">
        <f>H300+H303-H304-H302-H306</f>
        <v/>
      </c>
      <c r="I307" s="29">
        <f>I300+I303-I304-I302-I306</f>
        <v/>
      </c>
      <c r="J307" s="29">
        <f>J300+J303-J304-J302-J306</f>
        <v/>
      </c>
      <c r="K307" s="29">
        <f>K300+K303-K304-K302-K306</f>
        <v/>
      </c>
      <c r="L307" s="29">
        <f>L300+L303-L304-L302-L306</f>
        <v/>
      </c>
    </row>
    <row r="308">
      <c r="B308" t="inlineStr">
        <is>
          <t>Equity CF</t>
        </is>
      </c>
      <c r="D308" s="29">
        <f>-D297+D306</f>
        <v/>
      </c>
      <c r="E308" s="29">
        <f>-E297+E306</f>
        <v/>
      </c>
      <c r="F308" s="29">
        <f>-F297+F306</f>
        <v/>
      </c>
      <c r="G308" s="29">
        <f>-G297+G306</f>
        <v/>
      </c>
      <c r="H308" s="29">
        <f>-H297+H306</f>
        <v/>
      </c>
      <c r="I308" s="29">
        <f>-I297+I306</f>
        <v/>
      </c>
      <c r="J308" s="29">
        <f>-J297+J306</f>
        <v/>
      </c>
      <c r="K308" s="29">
        <f>-K297+K306</f>
        <v/>
      </c>
      <c r="L308" s="29">
        <f>-L297+L306</f>
        <v/>
      </c>
    </row>
    <row r="309">
      <c r="B309" t="inlineStr">
        <is>
          <t>PV Equity CF</t>
        </is>
      </c>
      <c r="D309" s="29">
        <f>D308/(1+D12)^(D5-2022)</f>
        <v/>
      </c>
      <c r="E309" s="29">
        <f>E308/(1+E12)^(E5-2022)</f>
        <v/>
      </c>
      <c r="F309" s="29">
        <f>F308/(1+F12)^(F5-2022)</f>
        <v/>
      </c>
      <c r="G309" s="29">
        <f>G308/(1+G12)^(G5-2022)</f>
        <v/>
      </c>
      <c r="H309" s="29">
        <f>H308/(1+H12)^(H5-2022)</f>
        <v/>
      </c>
      <c r="I309" s="29">
        <f>I308/(1+I12)^(I5-2022)</f>
        <v/>
      </c>
      <c r="J309" s="29">
        <f>J308/(1+J12)^(J5-2022)</f>
        <v/>
      </c>
      <c r="K309" s="29">
        <f>K308/(1+K12)^(K5-2022)</f>
        <v/>
      </c>
      <c r="L309" s="29">
        <f>L308/(1+L12)^(L5-2022)</f>
        <v/>
      </c>
    </row>
    <row r="310">
      <c r="B310" t="inlineStr">
        <is>
          <t>NPV Equity</t>
        </is>
      </c>
      <c r="C310">
        <f>SUM(D309:L309)</f>
        <v/>
      </c>
    </row>
    <row r="312">
      <c r="B312" s="31" t="inlineStr">
        <is>
          <t>ENGINE S3 x SC1</t>
        </is>
      </c>
      <c r="C312" t="inlineStr">
        <is>
          <t>pm=0.8, vm=0.9, dCost=0.03, payout=1.0, reserve=0</t>
        </is>
      </c>
    </row>
    <row r="313">
      <c r="B313" t="inlineStr">
        <is>
          <t>Cost cum adj</t>
        </is>
      </c>
      <c r="D313" s="29">
        <f>(1+D7+0.03)</f>
        <v/>
      </c>
      <c r="E313" s="29">
        <f>D313*(1+E7+0.03)</f>
        <v/>
      </c>
      <c r="F313" s="29">
        <f>E313*(1+F7+0.03)</f>
        <v/>
      </c>
      <c r="G313" s="29">
        <f>F313*(1+G7+0.03)</f>
        <v/>
      </c>
      <c r="H313" s="29">
        <f>G313*(1+H7+0.03)</f>
        <v/>
      </c>
      <c r="I313" s="29">
        <f>H313*(1+I7+0.03)</f>
        <v/>
      </c>
      <c r="J313" s="29">
        <f>I313*(1+J7+0.03)</f>
        <v/>
      </c>
      <c r="K313" s="29">
        <f>J313*(1+K7+0.03)</f>
        <v/>
      </c>
      <c r="L313" s="29">
        <f>K313*(1+L7+0.03)</f>
        <v/>
      </c>
    </row>
    <row r="314">
      <c r="B314" t="inlineStr">
        <is>
          <t>Revenue</t>
        </is>
      </c>
      <c r="D314" s="29">
        <f>D17*D18*0.9*D11*D10*0.8</f>
        <v/>
      </c>
      <c r="E314" s="29">
        <f>E17*E18*0.9*E11*E10*0.8</f>
        <v/>
      </c>
      <c r="F314" s="29">
        <f>F17*F18*0.9*F11*F10*0.8</f>
        <v/>
      </c>
      <c r="G314" s="29">
        <f>G17*G18*0.9*G11*G10*0.8</f>
        <v/>
      </c>
      <c r="H314" s="29">
        <f>H17*H18*0.9*H11*H10*0.8</f>
        <v/>
      </c>
      <c r="I314" s="29">
        <f>I17*I18*0.9*I11*I10*0.8</f>
        <v/>
      </c>
      <c r="J314" s="29">
        <f>J17*J18*0.9*J11*J10*0.8</f>
        <v/>
      </c>
      <c r="K314" s="29">
        <f>K17*K18*0.9*K11*K10*0.8</f>
        <v/>
      </c>
      <c r="L314" s="29">
        <f>L17*L18*0.9*L11*L10*0.8</f>
        <v/>
      </c>
    </row>
    <row r="315">
      <c r="B315" t="inlineStr">
        <is>
          <t>OPEX</t>
        </is>
      </c>
      <c r="D315" s="29">
        <f>D17*1000*D19*D313*0.9+D17*D18*0.9*D20*D313+D21*D313</f>
        <v/>
      </c>
      <c r="E315" s="29">
        <f>E17*1000*E19*E313*0.9+E17*E18*0.9*E20*E313+E21*E313</f>
        <v/>
      </c>
      <c r="F315" s="29">
        <f>F17*1000*F19*F313*0.9+F17*F18*0.9*F20*F313+F21*F313</f>
        <v/>
      </c>
      <c r="G315" s="29">
        <f>G17*1000*G19*G313*0.9+G17*G18*0.9*G20*G313+G21*G313</f>
        <v/>
      </c>
      <c r="H315" s="29">
        <f>H17*1000*H19*H313*0.9+H17*H18*0.9*H20*H313+H21*H313</f>
        <v/>
      </c>
      <c r="I315" s="29">
        <f>I17*1000*I19*I313*0.9+I17*I18*0.9*I20*I313+I21*I313</f>
        <v/>
      </c>
      <c r="J315" s="29">
        <f>J17*1000*J19*J313*0.9+J17*J18*0.9*J20*J313+J21*J313</f>
        <v/>
      </c>
      <c r="K315" s="29">
        <f>K17*1000*K19*K313*0.9+K17*K18*0.9*K20*K313+K21*K313</f>
        <v/>
      </c>
      <c r="L315" s="29">
        <f>L17*1000*L19*L313*0.9+L17*L18*0.9*L20*L313+L21*L313</f>
        <v/>
      </c>
    </row>
    <row r="316">
      <c r="B316" t="inlineStr">
        <is>
          <t>NDPI</t>
        </is>
      </c>
      <c r="D316" s="29">
        <f>D314*D13</f>
        <v/>
      </c>
      <c r="E316" s="29">
        <f>E314*E13</f>
        <v/>
      </c>
      <c r="F316" s="29">
        <f>F314*F13</f>
        <v/>
      </c>
      <c r="G316" s="29">
        <f>G314*G13</f>
        <v/>
      </c>
      <c r="H316" s="29">
        <f>H314*H13</f>
        <v/>
      </c>
      <c r="I316" s="29">
        <f>I314*I13</f>
        <v/>
      </c>
      <c r="J316" s="29">
        <f>J314*J13</f>
        <v/>
      </c>
      <c r="K316" s="29">
        <f>K314*K13</f>
        <v/>
      </c>
      <c r="L316" s="29">
        <f>L314*L13</f>
        <v/>
      </c>
    </row>
    <row r="317">
      <c r="B317" t="inlineStr">
        <is>
          <t>EBIT</t>
        </is>
      </c>
      <c r="D317" s="29">
        <f>D314-D315-D316</f>
        <v/>
      </c>
      <c r="E317" s="29">
        <f>E314-E315-E316</f>
        <v/>
      </c>
      <c r="F317" s="29">
        <f>F314-F315-F316</f>
        <v/>
      </c>
      <c r="G317" s="29">
        <f>G314-G315-G316</f>
        <v/>
      </c>
      <c r="H317" s="29">
        <f>H314-H315-H316</f>
        <v/>
      </c>
      <c r="I317" s="29">
        <f>I314-I315-I316</f>
        <v/>
      </c>
      <c r="J317" s="29">
        <f>J314-J315-J316</f>
        <v/>
      </c>
      <c r="K317" s="29">
        <f>K314-K315-K316</f>
        <v/>
      </c>
      <c r="L317" s="29">
        <f>L314-L315-L316</f>
        <v/>
      </c>
    </row>
    <row r="318">
      <c r="B318" t="inlineStr">
        <is>
          <t>AR</t>
        </is>
      </c>
      <c r="D318" s="29">
        <f>D314*D22/365</f>
        <v/>
      </c>
      <c r="E318" s="29">
        <f>E314*E22/365</f>
        <v/>
      </c>
      <c r="F318" s="29">
        <f>F314*F22/365</f>
        <v/>
      </c>
      <c r="G318" s="29">
        <f>G314*G22/365</f>
        <v/>
      </c>
      <c r="H318" s="29">
        <f>H314*H22/365</f>
        <v/>
      </c>
      <c r="I318" s="29">
        <f>I314*I22/365</f>
        <v/>
      </c>
      <c r="J318" s="29">
        <f>J314*J22/365</f>
        <v/>
      </c>
      <c r="K318" s="29">
        <f>K314*K22/365</f>
        <v/>
      </c>
      <c r="L318" s="29">
        <f>L314*L22/365</f>
        <v/>
      </c>
    </row>
    <row r="319">
      <c r="B319" t="inlineStr">
        <is>
          <t>AP</t>
        </is>
      </c>
      <c r="D319" s="29">
        <f>D315*D23/365</f>
        <v/>
      </c>
      <c r="E319" s="29">
        <f>E315*E23/365</f>
        <v/>
      </c>
      <c r="F319" s="29">
        <f>F315*F23/365</f>
        <v/>
      </c>
      <c r="G319" s="29">
        <f>G315*G23/365</f>
        <v/>
      </c>
      <c r="H319" s="29">
        <f>H315*H23/365</f>
        <v/>
      </c>
      <c r="I319" s="29">
        <f>I315*I23/365</f>
        <v/>
      </c>
      <c r="J319" s="29">
        <f>J315*J23/365</f>
        <v/>
      </c>
      <c r="K319" s="29">
        <f>K315*K23/365</f>
        <v/>
      </c>
      <c r="L319" s="29">
        <f>L315*L23/365</f>
        <v/>
      </c>
    </row>
    <row r="320">
      <c r="B320" t="inlineStr">
        <is>
          <t>dAR</t>
        </is>
      </c>
      <c r="D320" s="29">
        <f>D318-N(C318)</f>
        <v/>
      </c>
      <c r="E320" s="29">
        <f>E318-N(D318)</f>
        <v/>
      </c>
      <c r="F320" s="29">
        <f>F318-N(E318)</f>
        <v/>
      </c>
      <c r="G320" s="29">
        <f>G318-N(F318)</f>
        <v/>
      </c>
      <c r="H320" s="29">
        <f>H318-N(G318)</f>
        <v/>
      </c>
      <c r="I320" s="29">
        <f>I318-N(H318)</f>
        <v/>
      </c>
      <c r="J320" s="29">
        <f>J318-N(I318)</f>
        <v/>
      </c>
      <c r="K320" s="29">
        <f>K318-N(J318)</f>
        <v/>
      </c>
      <c r="L320" s="29">
        <f>L318-N(K318)</f>
        <v/>
      </c>
    </row>
    <row r="321">
      <c r="B321" t="inlineStr">
        <is>
          <t>dAP</t>
        </is>
      </c>
      <c r="D321" s="29">
        <f>D319-N(C319)</f>
        <v/>
      </c>
      <c r="E321" s="29">
        <f>E319-N(D319)</f>
        <v/>
      </c>
      <c r="F321" s="29">
        <f>F319-N(E319)</f>
        <v/>
      </c>
      <c r="G321" s="29">
        <f>G319-N(F319)</f>
        <v/>
      </c>
      <c r="H321" s="29">
        <f>H319-N(G319)</f>
        <v/>
      </c>
      <c r="I321" s="29">
        <f>I319-N(H319)</f>
        <v/>
      </c>
      <c r="J321" s="29">
        <f>J319-N(I319)</f>
        <v/>
      </c>
      <c r="K321" s="29">
        <f>K319-N(J319)</f>
        <v/>
      </c>
      <c r="L321" s="29">
        <f>L319-N(K319)</f>
        <v/>
      </c>
    </row>
    <row r="322">
      <c r="B322" t="inlineStr">
        <is>
          <t>CFO</t>
        </is>
      </c>
      <c r="D322" s="29">
        <f>D317-D320+D321</f>
        <v/>
      </c>
      <c r="E322" s="29">
        <f>E317-E320+E321</f>
        <v/>
      </c>
      <c r="F322" s="29">
        <f>F317-F320+F321</f>
        <v/>
      </c>
      <c r="G322" s="29">
        <f>G317-G320+G321</f>
        <v/>
      </c>
      <c r="H322" s="29">
        <f>H317-H320+H321</f>
        <v/>
      </c>
      <c r="I322" s="29">
        <f>I317-I320+I321</f>
        <v/>
      </c>
      <c r="J322" s="29">
        <f>J317-J320+J321</f>
        <v/>
      </c>
      <c r="K322" s="29">
        <f>K317-K320+K321</f>
        <v/>
      </c>
      <c r="L322" s="29">
        <f>L317-L320+L321</f>
        <v/>
      </c>
    </row>
    <row r="323">
      <c r="B323" t="inlineStr">
        <is>
          <t>CAPEX</t>
        </is>
      </c>
      <c r="D323" s="29">
        <f>D63</f>
        <v/>
      </c>
      <c r="E323" s="29">
        <f>E63</f>
        <v/>
      </c>
      <c r="F323" s="29">
        <f>F63</f>
        <v/>
      </c>
      <c r="G323" s="29">
        <f>G63</f>
        <v/>
      </c>
      <c r="H323" s="29">
        <f>H63</f>
        <v/>
      </c>
      <c r="I323" s="29">
        <f>I63</f>
        <v/>
      </c>
      <c r="J323" s="29">
        <f>J63</f>
        <v/>
      </c>
      <c r="K323" s="29">
        <f>K63</f>
        <v/>
      </c>
      <c r="L323" s="29">
        <f>L63</f>
        <v/>
      </c>
    </row>
    <row r="324">
      <c r="B324" t="inlineStr">
        <is>
          <t>Equity in</t>
        </is>
      </c>
      <c r="D324" s="29">
        <f>IF(D5=2022,1000000,0)</f>
        <v/>
      </c>
      <c r="E324" s="29">
        <f>IF(E5=2022,1000000,0)</f>
        <v/>
      </c>
      <c r="F324" s="29">
        <f>IF(F5=2022,1000000,0)</f>
        <v/>
      </c>
      <c r="G324" s="29">
        <f>IF(G5=2022,1000000,0)</f>
        <v/>
      </c>
      <c r="H324" s="29">
        <f>IF(H5=2022,1000000,0)</f>
        <v/>
      </c>
      <c r="I324" s="29">
        <f>IF(I5=2022,1000000,0)</f>
        <v/>
      </c>
      <c r="J324" s="29">
        <f>IF(J5=2022,1000000,0)</f>
        <v/>
      </c>
      <c r="K324" s="29">
        <f>IF(K5=2022,1000000,0)</f>
        <v/>
      </c>
      <c r="L324" s="29">
        <f>IF(L5=2022,1000000,0)</f>
        <v/>
      </c>
    </row>
    <row r="325">
      <c r="B325" t="inlineStr">
        <is>
          <t>Cash start</t>
        </is>
      </c>
      <c r="D325" s="29">
        <f>IF(D5=2022,0,C334)</f>
        <v/>
      </c>
      <c r="E325" s="29">
        <f>IF(E5=2022,0,D334)</f>
        <v/>
      </c>
      <c r="F325" s="29">
        <f>IF(F5=2022,0,E334)</f>
        <v/>
      </c>
      <c r="G325" s="29">
        <f>IF(G5=2022,0,F334)</f>
        <v/>
      </c>
      <c r="H325" s="29">
        <f>IF(H5=2022,0,G334)</f>
        <v/>
      </c>
      <c r="I325" s="29">
        <f>IF(I5=2022,0,H334)</f>
        <v/>
      </c>
      <c r="J325" s="29">
        <f>IF(J5=2022,0,I334)</f>
        <v/>
      </c>
      <c r="K325" s="29">
        <f>IF(K5=2022,0,J334)</f>
        <v/>
      </c>
      <c r="L325" s="29">
        <f>IF(L5=2022,0,K334)</f>
        <v/>
      </c>
    </row>
    <row r="326">
      <c r="B326" t="inlineStr">
        <is>
          <t>Debt start</t>
        </is>
      </c>
      <c r="D326" s="29">
        <f>IF(D5=2022,0,C328)</f>
        <v/>
      </c>
      <c r="E326" s="29">
        <f>IF(E5=2022,0,D328)</f>
        <v/>
      </c>
      <c r="F326" s="29">
        <f>IF(F5=2022,0,E328)</f>
        <v/>
      </c>
      <c r="G326" s="29">
        <f>IF(G5=2022,0,F328)</f>
        <v/>
      </c>
      <c r="H326" s="29">
        <f>IF(H5=2022,0,G328)</f>
        <v/>
      </c>
      <c r="I326" s="29">
        <f>IF(I5=2022,0,H328)</f>
        <v/>
      </c>
      <c r="J326" s="29">
        <f>IF(J5=2022,0,I328)</f>
        <v/>
      </c>
      <c r="K326" s="29">
        <f>IF(K5=2022,0,J328)</f>
        <v/>
      </c>
      <c r="L326" s="29">
        <f>IF(L5=2022,0,K328)</f>
        <v/>
      </c>
    </row>
    <row r="327">
      <c r="B327" t="inlineStr">
        <is>
          <t>Pre-debt cash</t>
        </is>
      </c>
      <c r="D327" s="29">
        <f>D325+D322-D323+D324</f>
        <v/>
      </c>
      <c r="E327" s="29">
        <f>E325+E322-E323+E324</f>
        <v/>
      </c>
      <c r="F327" s="29">
        <f>F325+F322-F323+F324</f>
        <v/>
      </c>
      <c r="G327" s="29">
        <f>G325+G322-G323+G324</f>
        <v/>
      </c>
      <c r="H327" s="29">
        <f>H325+H322-H323+H324</f>
        <v/>
      </c>
      <c r="I327" s="29">
        <f>I325+I322-I323+I324</f>
        <v/>
      </c>
      <c r="J327" s="29">
        <f>J325+J322-J323+J324</f>
        <v/>
      </c>
      <c r="K327" s="29">
        <f>K325+K322-K323+K324</f>
        <v/>
      </c>
      <c r="L327" s="29">
        <f>L325+L322-L323+L324</f>
        <v/>
      </c>
    </row>
    <row r="328">
      <c r="B328" t="inlineStr">
        <is>
          <t>Debt end</t>
        </is>
      </c>
      <c r="D328" s="29">
        <f>IF(D327&gt;=D326,0,(D326-D327)/(1-D14))</f>
        <v/>
      </c>
      <c r="E328" s="29">
        <f>IF(E327&gt;=E326,0,(E326-E327)/(1-E14))</f>
        <v/>
      </c>
      <c r="F328" s="29">
        <f>IF(F327&gt;=F326,0,(F326-F327)/(1-F14))</f>
        <v/>
      </c>
      <c r="G328" s="29">
        <f>IF(G327&gt;=G326,0,(G326-G327)/(1-G14))</f>
        <v/>
      </c>
      <c r="H328" s="29">
        <f>IF(H327&gt;=H326,0,(H326-H327)/(1-H14))</f>
        <v/>
      </c>
      <c r="I328" s="29">
        <f>IF(I327&gt;=I326,0,(I326-I327)/(1-I14))</f>
        <v/>
      </c>
      <c r="J328" s="29">
        <f>IF(J327&gt;=J326,0,(J326-J327)/(1-J14))</f>
        <v/>
      </c>
      <c r="K328" s="29">
        <f>IF(K327&gt;=K326,0,(K326-K327)/(1-K14))</f>
        <v/>
      </c>
      <c r="L328" s="29">
        <f>IF(L327&gt;=L326,0,(L326-L327)/(1-L14))</f>
        <v/>
      </c>
    </row>
    <row r="329">
      <c r="B329" t="inlineStr">
        <is>
          <t>Interest</t>
        </is>
      </c>
      <c r="D329" s="29">
        <f>D328*D14</f>
        <v/>
      </c>
      <c r="E329" s="29">
        <f>E328*E14</f>
        <v/>
      </c>
      <c r="F329" s="29">
        <f>F328*F14</f>
        <v/>
      </c>
      <c r="G329" s="29">
        <f>G328*G14</f>
        <v/>
      </c>
      <c r="H329" s="29">
        <f>H328*H14</f>
        <v/>
      </c>
      <c r="I329" s="29">
        <f>I328*I14</f>
        <v/>
      </c>
      <c r="J329" s="29">
        <f>J328*J14</f>
        <v/>
      </c>
      <c r="K329" s="29">
        <f>K328*K14</f>
        <v/>
      </c>
      <c r="L329" s="29">
        <f>L328*L14</f>
        <v/>
      </c>
    </row>
    <row r="330">
      <c r="B330" t="inlineStr">
        <is>
          <t>Debt draw</t>
        </is>
      </c>
      <c r="D330" s="29">
        <f>MAX(0,D328-D326)</f>
        <v/>
      </c>
      <c r="E330" s="29">
        <f>MAX(0,E328-E326)</f>
        <v/>
      </c>
      <c r="F330" s="29">
        <f>MAX(0,F328-F326)</f>
        <v/>
      </c>
      <c r="G330" s="29">
        <f>MAX(0,G328-G326)</f>
        <v/>
      </c>
      <c r="H330" s="29">
        <f>MAX(0,H328-H326)</f>
        <v/>
      </c>
      <c r="I330" s="29">
        <f>MAX(0,I328-I326)</f>
        <v/>
      </c>
      <c r="J330" s="29">
        <f>MAX(0,J328-J326)</f>
        <v/>
      </c>
      <c r="K330" s="29">
        <f>MAX(0,K328-K326)</f>
        <v/>
      </c>
      <c r="L330" s="29">
        <f>MAX(0,L328-L326)</f>
        <v/>
      </c>
    </row>
    <row r="331">
      <c r="B331" t="inlineStr">
        <is>
          <t>Debt repay</t>
        </is>
      </c>
      <c r="D331" s="29">
        <f>MAX(0,D326-D328)</f>
        <v/>
      </c>
      <c r="E331" s="29">
        <f>MAX(0,E326-E328)</f>
        <v/>
      </c>
      <c r="F331" s="29">
        <f>MAX(0,F326-F328)</f>
        <v/>
      </c>
      <c r="G331" s="29">
        <f>MAX(0,G326-G328)</f>
        <v/>
      </c>
      <c r="H331" s="29">
        <f>MAX(0,H326-H328)</f>
        <v/>
      </c>
      <c r="I331" s="29">
        <f>MAX(0,I326-I328)</f>
        <v/>
      </c>
      <c r="J331" s="29">
        <f>MAX(0,J326-J328)</f>
        <v/>
      </c>
      <c r="K331" s="29">
        <f>MAX(0,K326-K328)</f>
        <v/>
      </c>
      <c r="L331" s="29">
        <f>MAX(0,L326-L328)</f>
        <v/>
      </c>
    </row>
    <row r="332">
      <c r="B332" t="inlineStr">
        <is>
          <t>Post-debt cash</t>
        </is>
      </c>
      <c r="D332" s="29">
        <f>MAX(0,D327-D326)</f>
        <v/>
      </c>
      <c r="E332" s="29">
        <f>MAX(0,E327-E326)</f>
        <v/>
      </c>
      <c r="F332" s="29">
        <f>MAX(0,F327-F326)</f>
        <v/>
      </c>
      <c r="G332" s="29">
        <f>MAX(0,G327-G326)</f>
        <v/>
      </c>
      <c r="H332" s="29">
        <f>MAX(0,H327-H326)</f>
        <v/>
      </c>
      <c r="I332" s="29">
        <f>MAX(0,I327-I326)</f>
        <v/>
      </c>
      <c r="J332" s="29">
        <f>MAX(0,J327-J326)</f>
        <v/>
      </c>
      <c r="K332" s="29">
        <f>MAX(0,K327-K326)</f>
        <v/>
      </c>
      <c r="L332" s="29">
        <f>MAX(0,L327-L326)</f>
        <v/>
      </c>
    </row>
    <row r="333">
      <c r="B333" t="inlineStr">
        <is>
          <t>Dividends</t>
        </is>
      </c>
      <c r="D333" s="29">
        <f>IF(D328&gt;0,0,MAX(0,(D332-0)*1.0))</f>
        <v/>
      </c>
      <c r="E333" s="29">
        <f>IF(E328&gt;0,0,MAX(0,(E332-0)*1.0))</f>
        <v/>
      </c>
      <c r="F333" s="29">
        <f>IF(F328&gt;0,0,MAX(0,(F332-0)*1.0))</f>
        <v/>
      </c>
      <c r="G333" s="29">
        <f>IF(G328&gt;0,0,MAX(0,(G332-0)*1.0))</f>
        <v/>
      </c>
      <c r="H333" s="29">
        <f>IF(H328&gt;0,0,MAX(0,(H332-0)*1.0))</f>
        <v/>
      </c>
      <c r="I333" s="29">
        <f>IF(I328&gt;0,0,MAX(0,(I332-0)*1.0))</f>
        <v/>
      </c>
      <c r="J333" s="29">
        <f>IF(J328&gt;0,0,MAX(0,(J332-0)*1.0))</f>
        <v/>
      </c>
      <c r="K333" s="29">
        <f>IF(K328&gt;0,0,MAX(0,(K332-0)*1.0))</f>
        <v/>
      </c>
      <c r="L333" s="29">
        <f>IF(L328&gt;0,0,MAX(0,(L332-0)*1.0))</f>
        <v/>
      </c>
    </row>
    <row r="334">
      <c r="B334" t="inlineStr">
        <is>
          <t>Cash end</t>
        </is>
      </c>
      <c r="D334" s="29">
        <f>D327+D330-D331-D329-D333</f>
        <v/>
      </c>
      <c r="E334" s="29">
        <f>E327+E330-E331-E329-E333</f>
        <v/>
      </c>
      <c r="F334" s="29">
        <f>F327+F330-F331-F329-F333</f>
        <v/>
      </c>
      <c r="G334" s="29">
        <f>G327+G330-G331-G329-G333</f>
        <v/>
      </c>
      <c r="H334" s="29">
        <f>H327+H330-H331-H329-H333</f>
        <v/>
      </c>
      <c r="I334" s="29">
        <f>I327+I330-I331-I329-I333</f>
        <v/>
      </c>
      <c r="J334" s="29">
        <f>J327+J330-J331-J329-J333</f>
        <v/>
      </c>
      <c r="K334" s="29">
        <f>K327+K330-K331-K329-K333</f>
        <v/>
      </c>
      <c r="L334" s="29">
        <f>L327+L330-L331-L329-L333</f>
        <v/>
      </c>
    </row>
    <row r="335">
      <c r="B335" t="inlineStr">
        <is>
          <t>Equity CF</t>
        </is>
      </c>
      <c r="D335" s="29">
        <f>-D324+D333</f>
        <v/>
      </c>
      <c r="E335" s="29">
        <f>-E324+E333</f>
        <v/>
      </c>
      <c r="F335" s="29">
        <f>-F324+F333</f>
        <v/>
      </c>
      <c r="G335" s="29">
        <f>-G324+G333</f>
        <v/>
      </c>
      <c r="H335" s="29">
        <f>-H324+H333</f>
        <v/>
      </c>
      <c r="I335" s="29">
        <f>-I324+I333</f>
        <v/>
      </c>
      <c r="J335" s="29">
        <f>-J324+J333</f>
        <v/>
      </c>
      <c r="K335" s="29">
        <f>-K324+K333</f>
        <v/>
      </c>
      <c r="L335" s="29">
        <f>-L324+L333</f>
        <v/>
      </c>
    </row>
    <row r="336">
      <c r="B336" t="inlineStr">
        <is>
          <t>PV Equity CF</t>
        </is>
      </c>
      <c r="D336" s="29">
        <f>D335/(1+D12)^(D5-2022)</f>
        <v/>
      </c>
      <c r="E336" s="29">
        <f>E335/(1+E12)^(E5-2022)</f>
        <v/>
      </c>
      <c r="F336" s="29">
        <f>F335/(1+F12)^(F5-2022)</f>
        <v/>
      </c>
      <c r="G336" s="29">
        <f>G335/(1+G12)^(G5-2022)</f>
        <v/>
      </c>
      <c r="H336" s="29">
        <f>H335/(1+H12)^(H5-2022)</f>
        <v/>
      </c>
      <c r="I336" s="29">
        <f>I335/(1+I12)^(I5-2022)</f>
        <v/>
      </c>
      <c r="J336" s="29">
        <f>J335/(1+J12)^(J5-2022)</f>
        <v/>
      </c>
      <c r="K336" s="29">
        <f>K335/(1+K12)^(K5-2022)</f>
        <v/>
      </c>
      <c r="L336" s="29">
        <f>L335/(1+L12)^(L5-2022)</f>
        <v/>
      </c>
    </row>
    <row r="337">
      <c r="B337" t="inlineStr">
        <is>
          <t>NPV Equity</t>
        </is>
      </c>
      <c r="C337">
        <f>SUM(D336:L336)</f>
        <v/>
      </c>
    </row>
    <row r="339">
      <c r="B339" s="31" t="inlineStr">
        <is>
          <t>ENGINE S3 x SC2</t>
        </is>
      </c>
      <c r="C339" t="inlineStr">
        <is>
          <t>pm=1.0, vm=1.0, dCost=0.0, payout=1.0, reserve=0</t>
        </is>
      </c>
    </row>
    <row r="340">
      <c r="B340" t="inlineStr">
        <is>
          <t>Cost cum adj</t>
        </is>
      </c>
      <c r="D340" s="29">
        <f>(1+D7+0.0)</f>
        <v/>
      </c>
      <c r="E340" s="29">
        <f>D340*(1+E7+0.0)</f>
        <v/>
      </c>
      <c r="F340" s="29">
        <f>E340*(1+F7+0.0)</f>
        <v/>
      </c>
      <c r="G340" s="29">
        <f>F340*(1+G7+0.0)</f>
        <v/>
      </c>
      <c r="H340" s="29">
        <f>G340*(1+H7+0.0)</f>
        <v/>
      </c>
      <c r="I340" s="29">
        <f>H340*(1+I7+0.0)</f>
        <v/>
      </c>
      <c r="J340" s="29">
        <f>I340*(1+J7+0.0)</f>
        <v/>
      </c>
      <c r="K340" s="29">
        <f>J340*(1+K7+0.0)</f>
        <v/>
      </c>
      <c r="L340" s="29">
        <f>K340*(1+L7+0.0)</f>
        <v/>
      </c>
    </row>
    <row r="341">
      <c r="B341" t="inlineStr">
        <is>
          <t>Revenue</t>
        </is>
      </c>
      <c r="D341" s="29">
        <f>D17*D18*1.0*D11*D10*1.0</f>
        <v/>
      </c>
      <c r="E341" s="29">
        <f>E17*E18*1.0*E11*E10*1.0</f>
        <v/>
      </c>
      <c r="F341" s="29">
        <f>F17*F18*1.0*F11*F10*1.0</f>
        <v/>
      </c>
      <c r="G341" s="29">
        <f>G17*G18*1.0*G11*G10*1.0</f>
        <v/>
      </c>
      <c r="H341" s="29">
        <f>H17*H18*1.0*H11*H10*1.0</f>
        <v/>
      </c>
      <c r="I341" s="29">
        <f>I17*I18*1.0*I11*I10*1.0</f>
        <v/>
      </c>
      <c r="J341" s="29">
        <f>J17*J18*1.0*J11*J10*1.0</f>
        <v/>
      </c>
      <c r="K341" s="29">
        <f>K17*K18*1.0*K11*K10*1.0</f>
        <v/>
      </c>
      <c r="L341" s="29">
        <f>L17*L18*1.0*L11*L10*1.0</f>
        <v/>
      </c>
    </row>
    <row r="342">
      <c r="B342" t="inlineStr">
        <is>
          <t>OPEX</t>
        </is>
      </c>
      <c r="D342" s="29">
        <f>D17*1000*D19*D340*1.0+D17*D18*1.0*D20*D340+D21*D340</f>
        <v/>
      </c>
      <c r="E342" s="29">
        <f>E17*1000*E19*E340*1.0+E17*E18*1.0*E20*E340+E21*E340</f>
        <v/>
      </c>
      <c r="F342" s="29">
        <f>F17*1000*F19*F340*1.0+F17*F18*1.0*F20*F340+F21*F340</f>
        <v/>
      </c>
      <c r="G342" s="29">
        <f>G17*1000*G19*G340*1.0+G17*G18*1.0*G20*G340+G21*G340</f>
        <v/>
      </c>
      <c r="H342" s="29">
        <f>H17*1000*H19*H340*1.0+H17*H18*1.0*H20*H340+H21*H340</f>
        <v/>
      </c>
      <c r="I342" s="29">
        <f>I17*1000*I19*I340*1.0+I17*I18*1.0*I20*I340+I21*I340</f>
        <v/>
      </c>
      <c r="J342" s="29">
        <f>J17*1000*J19*J340*1.0+J17*J18*1.0*J20*J340+J21*J340</f>
        <v/>
      </c>
      <c r="K342" s="29">
        <f>K17*1000*K19*K340*1.0+K17*K18*1.0*K20*K340+K21*K340</f>
        <v/>
      </c>
      <c r="L342" s="29">
        <f>L17*1000*L19*L340*1.0+L17*L18*1.0*L20*L340+L21*L340</f>
        <v/>
      </c>
    </row>
    <row r="343">
      <c r="B343" t="inlineStr">
        <is>
          <t>NDPI</t>
        </is>
      </c>
      <c r="D343" s="29">
        <f>D341*D13</f>
        <v/>
      </c>
      <c r="E343" s="29">
        <f>E341*E13</f>
        <v/>
      </c>
      <c r="F343" s="29">
        <f>F341*F13</f>
        <v/>
      </c>
      <c r="G343" s="29">
        <f>G341*G13</f>
        <v/>
      </c>
      <c r="H343" s="29">
        <f>H341*H13</f>
        <v/>
      </c>
      <c r="I343" s="29">
        <f>I341*I13</f>
        <v/>
      </c>
      <c r="J343" s="29">
        <f>J341*J13</f>
        <v/>
      </c>
      <c r="K343" s="29">
        <f>K341*K13</f>
        <v/>
      </c>
      <c r="L343" s="29">
        <f>L341*L13</f>
        <v/>
      </c>
    </row>
    <row r="344">
      <c r="B344" t="inlineStr">
        <is>
          <t>EBIT</t>
        </is>
      </c>
      <c r="D344" s="29">
        <f>D341-D342-D343</f>
        <v/>
      </c>
      <c r="E344" s="29">
        <f>E341-E342-E343</f>
        <v/>
      </c>
      <c r="F344" s="29">
        <f>F341-F342-F343</f>
        <v/>
      </c>
      <c r="G344" s="29">
        <f>G341-G342-G343</f>
        <v/>
      </c>
      <c r="H344" s="29">
        <f>H341-H342-H343</f>
        <v/>
      </c>
      <c r="I344" s="29">
        <f>I341-I342-I343</f>
        <v/>
      </c>
      <c r="J344" s="29">
        <f>J341-J342-J343</f>
        <v/>
      </c>
      <c r="K344" s="29">
        <f>K341-K342-K343</f>
        <v/>
      </c>
      <c r="L344" s="29">
        <f>L341-L342-L343</f>
        <v/>
      </c>
    </row>
    <row r="345">
      <c r="B345" t="inlineStr">
        <is>
          <t>AR</t>
        </is>
      </c>
      <c r="D345" s="29">
        <f>D341*D22/365</f>
        <v/>
      </c>
      <c r="E345" s="29">
        <f>E341*E22/365</f>
        <v/>
      </c>
      <c r="F345" s="29">
        <f>F341*F22/365</f>
        <v/>
      </c>
      <c r="G345" s="29">
        <f>G341*G22/365</f>
        <v/>
      </c>
      <c r="H345" s="29">
        <f>H341*H22/365</f>
        <v/>
      </c>
      <c r="I345" s="29">
        <f>I341*I22/365</f>
        <v/>
      </c>
      <c r="J345" s="29">
        <f>J341*J22/365</f>
        <v/>
      </c>
      <c r="K345" s="29">
        <f>K341*K22/365</f>
        <v/>
      </c>
      <c r="L345" s="29">
        <f>L341*L22/365</f>
        <v/>
      </c>
    </row>
    <row r="346">
      <c r="B346" t="inlineStr">
        <is>
          <t>AP</t>
        </is>
      </c>
      <c r="D346" s="29">
        <f>D342*D23/365</f>
        <v/>
      </c>
      <c r="E346" s="29">
        <f>E342*E23/365</f>
        <v/>
      </c>
      <c r="F346" s="29">
        <f>F342*F23/365</f>
        <v/>
      </c>
      <c r="G346" s="29">
        <f>G342*G23/365</f>
        <v/>
      </c>
      <c r="H346" s="29">
        <f>H342*H23/365</f>
        <v/>
      </c>
      <c r="I346" s="29">
        <f>I342*I23/365</f>
        <v/>
      </c>
      <c r="J346" s="29">
        <f>J342*J23/365</f>
        <v/>
      </c>
      <c r="K346" s="29">
        <f>K342*K23/365</f>
        <v/>
      </c>
      <c r="L346" s="29">
        <f>L342*L23/365</f>
        <v/>
      </c>
    </row>
    <row r="347">
      <c r="B347" t="inlineStr">
        <is>
          <t>dAR</t>
        </is>
      </c>
      <c r="D347" s="29">
        <f>D345-N(C345)</f>
        <v/>
      </c>
      <c r="E347" s="29">
        <f>E345-N(D345)</f>
        <v/>
      </c>
      <c r="F347" s="29">
        <f>F345-N(E345)</f>
        <v/>
      </c>
      <c r="G347" s="29">
        <f>G345-N(F345)</f>
        <v/>
      </c>
      <c r="H347" s="29">
        <f>H345-N(G345)</f>
        <v/>
      </c>
      <c r="I347" s="29">
        <f>I345-N(H345)</f>
        <v/>
      </c>
      <c r="J347" s="29">
        <f>J345-N(I345)</f>
        <v/>
      </c>
      <c r="K347" s="29">
        <f>K345-N(J345)</f>
        <v/>
      </c>
      <c r="L347" s="29">
        <f>L345-N(K345)</f>
        <v/>
      </c>
    </row>
    <row r="348">
      <c r="B348" t="inlineStr">
        <is>
          <t>dAP</t>
        </is>
      </c>
      <c r="D348" s="29">
        <f>D346-N(C346)</f>
        <v/>
      </c>
      <c r="E348" s="29">
        <f>E346-N(D346)</f>
        <v/>
      </c>
      <c r="F348" s="29">
        <f>F346-N(E346)</f>
        <v/>
      </c>
      <c r="G348" s="29">
        <f>G346-N(F346)</f>
        <v/>
      </c>
      <c r="H348" s="29">
        <f>H346-N(G346)</f>
        <v/>
      </c>
      <c r="I348" s="29">
        <f>I346-N(H346)</f>
        <v/>
      </c>
      <c r="J348" s="29">
        <f>J346-N(I346)</f>
        <v/>
      </c>
      <c r="K348" s="29">
        <f>K346-N(J346)</f>
        <v/>
      </c>
      <c r="L348" s="29">
        <f>L346-N(K346)</f>
        <v/>
      </c>
    </row>
    <row r="349">
      <c r="B349" t="inlineStr">
        <is>
          <t>CFO</t>
        </is>
      </c>
      <c r="D349" s="29">
        <f>D344-D347+D348</f>
        <v/>
      </c>
      <c r="E349" s="29">
        <f>E344-E347+E348</f>
        <v/>
      </c>
      <c r="F349" s="29">
        <f>F344-F347+F348</f>
        <v/>
      </c>
      <c r="G349" s="29">
        <f>G344-G347+G348</f>
        <v/>
      </c>
      <c r="H349" s="29">
        <f>H344-H347+H348</f>
        <v/>
      </c>
      <c r="I349" s="29">
        <f>I344-I347+I348</f>
        <v/>
      </c>
      <c r="J349" s="29">
        <f>J344-J347+J348</f>
        <v/>
      </c>
      <c r="K349" s="29">
        <f>K344-K347+K348</f>
        <v/>
      </c>
      <c r="L349" s="29">
        <f>L344-L347+L348</f>
        <v/>
      </c>
    </row>
    <row r="350">
      <c r="B350" t="inlineStr">
        <is>
          <t>CAPEX</t>
        </is>
      </c>
      <c r="D350" s="29">
        <f>D63</f>
        <v/>
      </c>
      <c r="E350" s="29">
        <f>E63</f>
        <v/>
      </c>
      <c r="F350" s="29">
        <f>F63</f>
        <v/>
      </c>
      <c r="G350" s="29">
        <f>G63</f>
        <v/>
      </c>
      <c r="H350" s="29">
        <f>H63</f>
        <v/>
      </c>
      <c r="I350" s="29">
        <f>I63</f>
        <v/>
      </c>
      <c r="J350" s="29">
        <f>J63</f>
        <v/>
      </c>
      <c r="K350" s="29">
        <f>K63</f>
        <v/>
      </c>
      <c r="L350" s="29">
        <f>L63</f>
        <v/>
      </c>
    </row>
    <row r="351">
      <c r="B351" t="inlineStr">
        <is>
          <t>Equity in</t>
        </is>
      </c>
      <c r="D351" s="29">
        <f>IF(D5=2022,1000000,0)</f>
        <v/>
      </c>
      <c r="E351" s="29">
        <f>IF(E5=2022,1000000,0)</f>
        <v/>
      </c>
      <c r="F351" s="29">
        <f>IF(F5=2022,1000000,0)</f>
        <v/>
      </c>
      <c r="G351" s="29">
        <f>IF(G5=2022,1000000,0)</f>
        <v/>
      </c>
      <c r="H351" s="29">
        <f>IF(H5=2022,1000000,0)</f>
        <v/>
      </c>
      <c r="I351" s="29">
        <f>IF(I5=2022,1000000,0)</f>
        <v/>
      </c>
      <c r="J351" s="29">
        <f>IF(J5=2022,1000000,0)</f>
        <v/>
      </c>
      <c r="K351" s="29">
        <f>IF(K5=2022,1000000,0)</f>
        <v/>
      </c>
      <c r="L351" s="29">
        <f>IF(L5=2022,1000000,0)</f>
        <v/>
      </c>
    </row>
    <row r="352">
      <c r="B352" t="inlineStr">
        <is>
          <t>Cash start</t>
        </is>
      </c>
      <c r="D352" s="29">
        <f>IF(D5=2022,0,C361)</f>
        <v/>
      </c>
      <c r="E352" s="29">
        <f>IF(E5=2022,0,D361)</f>
        <v/>
      </c>
      <c r="F352" s="29">
        <f>IF(F5=2022,0,E361)</f>
        <v/>
      </c>
      <c r="G352" s="29">
        <f>IF(G5=2022,0,F361)</f>
        <v/>
      </c>
      <c r="H352" s="29">
        <f>IF(H5=2022,0,G361)</f>
        <v/>
      </c>
      <c r="I352" s="29">
        <f>IF(I5=2022,0,H361)</f>
        <v/>
      </c>
      <c r="J352" s="29">
        <f>IF(J5=2022,0,I361)</f>
        <v/>
      </c>
      <c r="K352" s="29">
        <f>IF(K5=2022,0,J361)</f>
        <v/>
      </c>
      <c r="L352" s="29">
        <f>IF(L5=2022,0,K361)</f>
        <v/>
      </c>
    </row>
    <row r="353">
      <c r="B353" t="inlineStr">
        <is>
          <t>Debt start</t>
        </is>
      </c>
      <c r="D353" s="29">
        <f>IF(D5=2022,0,C355)</f>
        <v/>
      </c>
      <c r="E353" s="29">
        <f>IF(E5=2022,0,D355)</f>
        <v/>
      </c>
      <c r="F353" s="29">
        <f>IF(F5=2022,0,E355)</f>
        <v/>
      </c>
      <c r="G353" s="29">
        <f>IF(G5=2022,0,F355)</f>
        <v/>
      </c>
      <c r="H353" s="29">
        <f>IF(H5=2022,0,G355)</f>
        <v/>
      </c>
      <c r="I353" s="29">
        <f>IF(I5=2022,0,H355)</f>
        <v/>
      </c>
      <c r="J353" s="29">
        <f>IF(J5=2022,0,I355)</f>
        <v/>
      </c>
      <c r="K353" s="29">
        <f>IF(K5=2022,0,J355)</f>
        <v/>
      </c>
      <c r="L353" s="29">
        <f>IF(L5=2022,0,K355)</f>
        <v/>
      </c>
    </row>
    <row r="354">
      <c r="B354" t="inlineStr">
        <is>
          <t>Pre-debt cash</t>
        </is>
      </c>
      <c r="D354" s="29">
        <f>D352+D349-D350+D351</f>
        <v/>
      </c>
      <c r="E354" s="29">
        <f>E352+E349-E350+E351</f>
        <v/>
      </c>
      <c r="F354" s="29">
        <f>F352+F349-F350+F351</f>
        <v/>
      </c>
      <c r="G354" s="29">
        <f>G352+G349-G350+G351</f>
        <v/>
      </c>
      <c r="H354" s="29">
        <f>H352+H349-H350+H351</f>
        <v/>
      </c>
      <c r="I354" s="29">
        <f>I352+I349-I350+I351</f>
        <v/>
      </c>
      <c r="J354" s="29">
        <f>J352+J349-J350+J351</f>
        <v/>
      </c>
      <c r="K354" s="29">
        <f>K352+K349-K350+K351</f>
        <v/>
      </c>
      <c r="L354" s="29">
        <f>L352+L349-L350+L351</f>
        <v/>
      </c>
    </row>
    <row r="355">
      <c r="B355" t="inlineStr">
        <is>
          <t>Debt end</t>
        </is>
      </c>
      <c r="D355" s="29">
        <f>IF(D354&gt;=D353,0,(D353-D354)/(1-D14))</f>
        <v/>
      </c>
      <c r="E355" s="29">
        <f>IF(E354&gt;=E353,0,(E353-E354)/(1-E14))</f>
        <v/>
      </c>
      <c r="F355" s="29">
        <f>IF(F354&gt;=F353,0,(F353-F354)/(1-F14))</f>
        <v/>
      </c>
      <c r="G355" s="29">
        <f>IF(G354&gt;=G353,0,(G353-G354)/(1-G14))</f>
        <v/>
      </c>
      <c r="H355" s="29">
        <f>IF(H354&gt;=H353,0,(H353-H354)/(1-H14))</f>
        <v/>
      </c>
      <c r="I355" s="29">
        <f>IF(I354&gt;=I353,0,(I353-I354)/(1-I14))</f>
        <v/>
      </c>
      <c r="J355" s="29">
        <f>IF(J354&gt;=J353,0,(J353-J354)/(1-J14))</f>
        <v/>
      </c>
      <c r="K355" s="29">
        <f>IF(K354&gt;=K353,0,(K353-K354)/(1-K14))</f>
        <v/>
      </c>
      <c r="L355" s="29">
        <f>IF(L354&gt;=L353,0,(L353-L354)/(1-L14))</f>
        <v/>
      </c>
    </row>
    <row r="356">
      <c r="B356" t="inlineStr">
        <is>
          <t>Interest</t>
        </is>
      </c>
      <c r="D356" s="29">
        <f>D355*D14</f>
        <v/>
      </c>
      <c r="E356" s="29">
        <f>E355*E14</f>
        <v/>
      </c>
      <c r="F356" s="29">
        <f>F355*F14</f>
        <v/>
      </c>
      <c r="G356" s="29">
        <f>G355*G14</f>
        <v/>
      </c>
      <c r="H356" s="29">
        <f>H355*H14</f>
        <v/>
      </c>
      <c r="I356" s="29">
        <f>I355*I14</f>
        <v/>
      </c>
      <c r="J356" s="29">
        <f>J355*J14</f>
        <v/>
      </c>
      <c r="K356" s="29">
        <f>K355*K14</f>
        <v/>
      </c>
      <c r="L356" s="29">
        <f>L355*L14</f>
        <v/>
      </c>
    </row>
    <row r="357">
      <c r="B357" t="inlineStr">
        <is>
          <t>Debt draw</t>
        </is>
      </c>
      <c r="D357" s="29">
        <f>MAX(0,D355-D353)</f>
        <v/>
      </c>
      <c r="E357" s="29">
        <f>MAX(0,E355-E353)</f>
        <v/>
      </c>
      <c r="F357" s="29">
        <f>MAX(0,F355-F353)</f>
        <v/>
      </c>
      <c r="G357" s="29">
        <f>MAX(0,G355-G353)</f>
        <v/>
      </c>
      <c r="H357" s="29">
        <f>MAX(0,H355-H353)</f>
        <v/>
      </c>
      <c r="I357" s="29">
        <f>MAX(0,I355-I353)</f>
        <v/>
      </c>
      <c r="J357" s="29">
        <f>MAX(0,J355-J353)</f>
        <v/>
      </c>
      <c r="K357" s="29">
        <f>MAX(0,K355-K353)</f>
        <v/>
      </c>
      <c r="L357" s="29">
        <f>MAX(0,L355-L353)</f>
        <v/>
      </c>
    </row>
    <row r="358">
      <c r="B358" t="inlineStr">
        <is>
          <t>Debt repay</t>
        </is>
      </c>
      <c r="D358" s="29">
        <f>MAX(0,D353-D355)</f>
        <v/>
      </c>
      <c r="E358" s="29">
        <f>MAX(0,E353-E355)</f>
        <v/>
      </c>
      <c r="F358" s="29">
        <f>MAX(0,F353-F355)</f>
        <v/>
      </c>
      <c r="G358" s="29">
        <f>MAX(0,G353-G355)</f>
        <v/>
      </c>
      <c r="H358" s="29">
        <f>MAX(0,H353-H355)</f>
        <v/>
      </c>
      <c r="I358" s="29">
        <f>MAX(0,I353-I355)</f>
        <v/>
      </c>
      <c r="J358" s="29">
        <f>MAX(0,J353-J355)</f>
        <v/>
      </c>
      <c r="K358" s="29">
        <f>MAX(0,K353-K355)</f>
        <v/>
      </c>
      <c r="L358" s="29">
        <f>MAX(0,L353-L355)</f>
        <v/>
      </c>
    </row>
    <row r="359">
      <c r="B359" t="inlineStr">
        <is>
          <t>Post-debt cash</t>
        </is>
      </c>
      <c r="D359" s="29">
        <f>MAX(0,D354-D353)</f>
        <v/>
      </c>
      <c r="E359" s="29">
        <f>MAX(0,E354-E353)</f>
        <v/>
      </c>
      <c r="F359" s="29">
        <f>MAX(0,F354-F353)</f>
        <v/>
      </c>
      <c r="G359" s="29">
        <f>MAX(0,G354-G353)</f>
        <v/>
      </c>
      <c r="H359" s="29">
        <f>MAX(0,H354-H353)</f>
        <v/>
      </c>
      <c r="I359" s="29">
        <f>MAX(0,I354-I353)</f>
        <v/>
      </c>
      <c r="J359" s="29">
        <f>MAX(0,J354-J353)</f>
        <v/>
      </c>
      <c r="K359" s="29">
        <f>MAX(0,K354-K353)</f>
        <v/>
      </c>
      <c r="L359" s="29">
        <f>MAX(0,L354-L353)</f>
        <v/>
      </c>
    </row>
    <row r="360">
      <c r="B360" t="inlineStr">
        <is>
          <t>Dividends</t>
        </is>
      </c>
      <c r="D360" s="29">
        <f>IF(D355&gt;0,0,MAX(0,(D359-0)*1.0))</f>
        <v/>
      </c>
      <c r="E360" s="29">
        <f>IF(E355&gt;0,0,MAX(0,(E359-0)*1.0))</f>
        <v/>
      </c>
      <c r="F360" s="29">
        <f>IF(F355&gt;0,0,MAX(0,(F359-0)*1.0))</f>
        <v/>
      </c>
      <c r="G360" s="29">
        <f>IF(G355&gt;0,0,MAX(0,(G359-0)*1.0))</f>
        <v/>
      </c>
      <c r="H360" s="29">
        <f>IF(H355&gt;0,0,MAX(0,(H359-0)*1.0))</f>
        <v/>
      </c>
      <c r="I360" s="29">
        <f>IF(I355&gt;0,0,MAX(0,(I359-0)*1.0))</f>
        <v/>
      </c>
      <c r="J360" s="29">
        <f>IF(J355&gt;0,0,MAX(0,(J359-0)*1.0))</f>
        <v/>
      </c>
      <c r="K360" s="29">
        <f>IF(K355&gt;0,0,MAX(0,(K359-0)*1.0))</f>
        <v/>
      </c>
      <c r="L360" s="29">
        <f>IF(L355&gt;0,0,MAX(0,(L359-0)*1.0))</f>
        <v/>
      </c>
    </row>
    <row r="361">
      <c r="B361" t="inlineStr">
        <is>
          <t>Cash end</t>
        </is>
      </c>
      <c r="D361" s="29">
        <f>D354+D357-D358-D356-D360</f>
        <v/>
      </c>
      <c r="E361" s="29">
        <f>E354+E357-E358-E356-E360</f>
        <v/>
      </c>
      <c r="F361" s="29">
        <f>F354+F357-F358-F356-F360</f>
        <v/>
      </c>
      <c r="G361" s="29">
        <f>G354+G357-G358-G356-G360</f>
        <v/>
      </c>
      <c r="H361" s="29">
        <f>H354+H357-H358-H356-H360</f>
        <v/>
      </c>
      <c r="I361" s="29">
        <f>I354+I357-I358-I356-I360</f>
        <v/>
      </c>
      <c r="J361" s="29">
        <f>J354+J357-J358-J356-J360</f>
        <v/>
      </c>
      <c r="K361" s="29">
        <f>K354+K357-K358-K356-K360</f>
        <v/>
      </c>
      <c r="L361" s="29">
        <f>L354+L357-L358-L356-L360</f>
        <v/>
      </c>
    </row>
    <row r="362">
      <c r="B362" t="inlineStr">
        <is>
          <t>Equity CF</t>
        </is>
      </c>
      <c r="D362" s="29">
        <f>-D351+D360</f>
        <v/>
      </c>
      <c r="E362" s="29">
        <f>-E351+E360</f>
        <v/>
      </c>
      <c r="F362" s="29">
        <f>-F351+F360</f>
        <v/>
      </c>
      <c r="G362" s="29">
        <f>-G351+G360</f>
        <v/>
      </c>
      <c r="H362" s="29">
        <f>-H351+H360</f>
        <v/>
      </c>
      <c r="I362" s="29">
        <f>-I351+I360</f>
        <v/>
      </c>
      <c r="J362" s="29">
        <f>-J351+J360</f>
        <v/>
      </c>
      <c r="K362" s="29">
        <f>-K351+K360</f>
        <v/>
      </c>
      <c r="L362" s="29">
        <f>-L351+L360</f>
        <v/>
      </c>
    </row>
    <row r="363">
      <c r="B363" t="inlineStr">
        <is>
          <t>PV Equity CF</t>
        </is>
      </c>
      <c r="D363" s="29">
        <f>D362/(1+D12)^(D5-2022)</f>
        <v/>
      </c>
      <c r="E363" s="29">
        <f>E362/(1+E12)^(E5-2022)</f>
        <v/>
      </c>
      <c r="F363" s="29">
        <f>F362/(1+F12)^(F5-2022)</f>
        <v/>
      </c>
      <c r="G363" s="29">
        <f>G362/(1+G12)^(G5-2022)</f>
        <v/>
      </c>
      <c r="H363" s="29">
        <f>H362/(1+H12)^(H5-2022)</f>
        <v/>
      </c>
      <c r="I363" s="29">
        <f>I362/(1+I12)^(I5-2022)</f>
        <v/>
      </c>
      <c r="J363" s="29">
        <f>J362/(1+J12)^(J5-2022)</f>
        <v/>
      </c>
      <c r="K363" s="29">
        <f>K362/(1+K12)^(K5-2022)</f>
        <v/>
      </c>
      <c r="L363" s="29">
        <f>L362/(1+L12)^(L5-2022)</f>
        <v/>
      </c>
    </row>
    <row r="364">
      <c r="B364" t="inlineStr">
        <is>
          <t>NPV Equity</t>
        </is>
      </c>
      <c r="C364">
        <f>SUM(D363:L363)</f>
        <v/>
      </c>
    </row>
    <row r="366">
      <c r="B366" s="31" t="inlineStr">
        <is>
          <t>ENGINE S3 x SC3</t>
        </is>
      </c>
      <c r="C366" t="inlineStr">
        <is>
          <t>pm=1.15, vm=1.05, dCost=-0.02, payout=1.0, reserve=0</t>
        </is>
      </c>
    </row>
    <row r="367">
      <c r="B367" t="inlineStr">
        <is>
          <t>Cost cum adj</t>
        </is>
      </c>
      <c r="D367" s="29">
        <f>(1+D7+-0.02)</f>
        <v/>
      </c>
      <c r="E367" s="29">
        <f>D367*(1+E7+-0.02)</f>
        <v/>
      </c>
      <c r="F367" s="29">
        <f>E367*(1+F7+-0.02)</f>
        <v/>
      </c>
      <c r="G367" s="29">
        <f>F367*(1+G7+-0.02)</f>
        <v/>
      </c>
      <c r="H367" s="29">
        <f>G367*(1+H7+-0.02)</f>
        <v/>
      </c>
      <c r="I367" s="29">
        <f>H367*(1+I7+-0.02)</f>
        <v/>
      </c>
      <c r="J367" s="29">
        <f>I367*(1+J7+-0.02)</f>
        <v/>
      </c>
      <c r="K367" s="29">
        <f>J367*(1+K7+-0.02)</f>
        <v/>
      </c>
      <c r="L367" s="29">
        <f>K367*(1+L7+-0.02)</f>
        <v/>
      </c>
    </row>
    <row r="368">
      <c r="B368" t="inlineStr">
        <is>
          <t>Revenue</t>
        </is>
      </c>
      <c r="D368" s="29">
        <f>D17*D18*1.05*D11*D10*1.15</f>
        <v/>
      </c>
      <c r="E368" s="29">
        <f>E17*E18*1.05*E11*E10*1.15</f>
        <v/>
      </c>
      <c r="F368" s="29">
        <f>F17*F18*1.05*F11*F10*1.15</f>
        <v/>
      </c>
      <c r="G368" s="29">
        <f>G17*G18*1.05*G11*G10*1.15</f>
        <v/>
      </c>
      <c r="H368" s="29">
        <f>H17*H18*1.05*H11*H10*1.15</f>
        <v/>
      </c>
      <c r="I368" s="29">
        <f>I17*I18*1.05*I11*I10*1.15</f>
        <v/>
      </c>
      <c r="J368" s="29">
        <f>J17*J18*1.05*J11*J10*1.15</f>
        <v/>
      </c>
      <c r="K368" s="29">
        <f>K17*K18*1.05*K11*K10*1.15</f>
        <v/>
      </c>
      <c r="L368" s="29">
        <f>L17*L18*1.05*L11*L10*1.15</f>
        <v/>
      </c>
    </row>
    <row r="369">
      <c r="B369" t="inlineStr">
        <is>
          <t>OPEX</t>
        </is>
      </c>
      <c r="D369" s="29">
        <f>D17*1000*D19*D367*1.05+D17*D18*1.05*D20*D367+D21*D367</f>
        <v/>
      </c>
      <c r="E369" s="29">
        <f>E17*1000*E19*E367*1.05+E17*E18*1.05*E20*E367+E21*E367</f>
        <v/>
      </c>
      <c r="F369" s="29">
        <f>F17*1000*F19*F367*1.05+F17*F18*1.05*F20*F367+F21*F367</f>
        <v/>
      </c>
      <c r="G369" s="29">
        <f>G17*1000*G19*G367*1.05+G17*G18*1.05*G20*G367+G21*G367</f>
        <v/>
      </c>
      <c r="H369" s="29">
        <f>H17*1000*H19*H367*1.05+H17*H18*1.05*H20*H367+H21*H367</f>
        <v/>
      </c>
      <c r="I369" s="29">
        <f>I17*1000*I19*I367*1.05+I17*I18*1.05*I20*I367+I21*I367</f>
        <v/>
      </c>
      <c r="J369" s="29">
        <f>J17*1000*J19*J367*1.05+J17*J18*1.05*J20*J367+J21*J367</f>
        <v/>
      </c>
      <c r="K369" s="29">
        <f>K17*1000*K19*K367*1.05+K17*K18*1.05*K20*K367+K21*K367</f>
        <v/>
      </c>
      <c r="L369" s="29">
        <f>L17*1000*L19*L367*1.05+L17*L18*1.05*L20*L367+L21*L367</f>
        <v/>
      </c>
    </row>
    <row r="370">
      <c r="B370" t="inlineStr">
        <is>
          <t>NDPI</t>
        </is>
      </c>
      <c r="D370" s="29">
        <f>D368*D13</f>
        <v/>
      </c>
      <c r="E370" s="29">
        <f>E368*E13</f>
        <v/>
      </c>
      <c r="F370" s="29">
        <f>F368*F13</f>
        <v/>
      </c>
      <c r="G370" s="29">
        <f>G368*G13</f>
        <v/>
      </c>
      <c r="H370" s="29">
        <f>H368*H13</f>
        <v/>
      </c>
      <c r="I370" s="29">
        <f>I368*I13</f>
        <v/>
      </c>
      <c r="J370" s="29">
        <f>J368*J13</f>
        <v/>
      </c>
      <c r="K370" s="29">
        <f>K368*K13</f>
        <v/>
      </c>
      <c r="L370" s="29">
        <f>L368*L13</f>
        <v/>
      </c>
    </row>
    <row r="371">
      <c r="B371" t="inlineStr">
        <is>
          <t>EBIT</t>
        </is>
      </c>
      <c r="D371" s="29">
        <f>D368-D369-D370</f>
        <v/>
      </c>
      <c r="E371" s="29">
        <f>E368-E369-E370</f>
        <v/>
      </c>
      <c r="F371" s="29">
        <f>F368-F369-F370</f>
        <v/>
      </c>
      <c r="G371" s="29">
        <f>G368-G369-G370</f>
        <v/>
      </c>
      <c r="H371" s="29">
        <f>H368-H369-H370</f>
        <v/>
      </c>
      <c r="I371" s="29">
        <f>I368-I369-I370</f>
        <v/>
      </c>
      <c r="J371" s="29">
        <f>J368-J369-J370</f>
        <v/>
      </c>
      <c r="K371" s="29">
        <f>K368-K369-K370</f>
        <v/>
      </c>
      <c r="L371" s="29">
        <f>L368-L369-L370</f>
        <v/>
      </c>
    </row>
    <row r="372">
      <c r="B372" t="inlineStr">
        <is>
          <t>AR</t>
        </is>
      </c>
      <c r="D372" s="29">
        <f>D368*D22/365</f>
        <v/>
      </c>
      <c r="E372" s="29">
        <f>E368*E22/365</f>
        <v/>
      </c>
      <c r="F372" s="29">
        <f>F368*F22/365</f>
        <v/>
      </c>
      <c r="G372" s="29">
        <f>G368*G22/365</f>
        <v/>
      </c>
      <c r="H372" s="29">
        <f>H368*H22/365</f>
        <v/>
      </c>
      <c r="I372" s="29">
        <f>I368*I22/365</f>
        <v/>
      </c>
      <c r="J372" s="29">
        <f>J368*J22/365</f>
        <v/>
      </c>
      <c r="K372" s="29">
        <f>K368*K22/365</f>
        <v/>
      </c>
      <c r="L372" s="29">
        <f>L368*L22/365</f>
        <v/>
      </c>
    </row>
    <row r="373">
      <c r="B373" t="inlineStr">
        <is>
          <t>AP</t>
        </is>
      </c>
      <c r="D373" s="29">
        <f>D369*D23/365</f>
        <v/>
      </c>
      <c r="E373" s="29">
        <f>E369*E23/365</f>
        <v/>
      </c>
      <c r="F373" s="29">
        <f>F369*F23/365</f>
        <v/>
      </c>
      <c r="G373" s="29">
        <f>G369*G23/365</f>
        <v/>
      </c>
      <c r="H373" s="29">
        <f>H369*H23/365</f>
        <v/>
      </c>
      <c r="I373" s="29">
        <f>I369*I23/365</f>
        <v/>
      </c>
      <c r="J373" s="29">
        <f>J369*J23/365</f>
        <v/>
      </c>
      <c r="K373" s="29">
        <f>K369*K23/365</f>
        <v/>
      </c>
      <c r="L373" s="29">
        <f>L369*L23/365</f>
        <v/>
      </c>
    </row>
    <row r="374">
      <c r="B374" t="inlineStr">
        <is>
          <t>dAR</t>
        </is>
      </c>
      <c r="D374" s="29">
        <f>D372-N(C372)</f>
        <v/>
      </c>
      <c r="E374" s="29">
        <f>E372-N(D372)</f>
        <v/>
      </c>
      <c r="F374" s="29">
        <f>F372-N(E372)</f>
        <v/>
      </c>
      <c r="G374" s="29">
        <f>G372-N(F372)</f>
        <v/>
      </c>
      <c r="H374" s="29">
        <f>H372-N(G372)</f>
        <v/>
      </c>
      <c r="I374" s="29">
        <f>I372-N(H372)</f>
        <v/>
      </c>
      <c r="J374" s="29">
        <f>J372-N(I372)</f>
        <v/>
      </c>
      <c r="K374" s="29">
        <f>K372-N(J372)</f>
        <v/>
      </c>
      <c r="L374" s="29">
        <f>L372-N(K372)</f>
        <v/>
      </c>
    </row>
    <row r="375">
      <c r="B375" t="inlineStr">
        <is>
          <t>dAP</t>
        </is>
      </c>
      <c r="D375" s="29">
        <f>D373-N(C373)</f>
        <v/>
      </c>
      <c r="E375" s="29">
        <f>E373-N(D373)</f>
        <v/>
      </c>
      <c r="F375" s="29">
        <f>F373-N(E373)</f>
        <v/>
      </c>
      <c r="G375" s="29">
        <f>G373-N(F373)</f>
        <v/>
      </c>
      <c r="H375" s="29">
        <f>H373-N(G373)</f>
        <v/>
      </c>
      <c r="I375" s="29">
        <f>I373-N(H373)</f>
        <v/>
      </c>
      <c r="J375" s="29">
        <f>J373-N(I373)</f>
        <v/>
      </c>
      <c r="K375" s="29">
        <f>K373-N(J373)</f>
        <v/>
      </c>
      <c r="L375" s="29">
        <f>L373-N(K373)</f>
        <v/>
      </c>
    </row>
    <row r="376">
      <c r="B376" t="inlineStr">
        <is>
          <t>CFO</t>
        </is>
      </c>
      <c r="D376" s="29">
        <f>D371-D374+D375</f>
        <v/>
      </c>
      <c r="E376" s="29">
        <f>E371-E374+E375</f>
        <v/>
      </c>
      <c r="F376" s="29">
        <f>F371-F374+F375</f>
        <v/>
      </c>
      <c r="G376" s="29">
        <f>G371-G374+G375</f>
        <v/>
      </c>
      <c r="H376" s="29">
        <f>H371-H374+H375</f>
        <v/>
      </c>
      <c r="I376" s="29">
        <f>I371-I374+I375</f>
        <v/>
      </c>
      <c r="J376" s="29">
        <f>J371-J374+J375</f>
        <v/>
      </c>
      <c r="K376" s="29">
        <f>K371-K374+K375</f>
        <v/>
      </c>
      <c r="L376" s="29">
        <f>L371-L374+L375</f>
        <v/>
      </c>
    </row>
    <row r="377">
      <c r="B377" t="inlineStr">
        <is>
          <t>CAPEX</t>
        </is>
      </c>
      <c r="D377" s="29">
        <f>D63</f>
        <v/>
      </c>
      <c r="E377" s="29">
        <f>E63</f>
        <v/>
      </c>
      <c r="F377" s="29">
        <f>F63</f>
        <v/>
      </c>
      <c r="G377" s="29">
        <f>G63</f>
        <v/>
      </c>
      <c r="H377" s="29">
        <f>H63</f>
        <v/>
      </c>
      <c r="I377" s="29">
        <f>I63</f>
        <v/>
      </c>
      <c r="J377" s="29">
        <f>J63</f>
        <v/>
      </c>
      <c r="K377" s="29">
        <f>K63</f>
        <v/>
      </c>
      <c r="L377" s="29">
        <f>L63</f>
        <v/>
      </c>
    </row>
    <row r="378">
      <c r="B378" t="inlineStr">
        <is>
          <t>Equity in</t>
        </is>
      </c>
      <c r="D378" s="29">
        <f>IF(D5=2022,1000000,0)</f>
        <v/>
      </c>
      <c r="E378" s="29">
        <f>IF(E5=2022,1000000,0)</f>
        <v/>
      </c>
      <c r="F378" s="29">
        <f>IF(F5=2022,1000000,0)</f>
        <v/>
      </c>
      <c r="G378" s="29">
        <f>IF(G5=2022,1000000,0)</f>
        <v/>
      </c>
      <c r="H378" s="29">
        <f>IF(H5=2022,1000000,0)</f>
        <v/>
      </c>
      <c r="I378" s="29">
        <f>IF(I5=2022,1000000,0)</f>
        <v/>
      </c>
      <c r="J378" s="29">
        <f>IF(J5=2022,1000000,0)</f>
        <v/>
      </c>
      <c r="K378" s="29">
        <f>IF(K5=2022,1000000,0)</f>
        <v/>
      </c>
      <c r="L378" s="29">
        <f>IF(L5=2022,1000000,0)</f>
        <v/>
      </c>
    </row>
    <row r="379">
      <c r="B379" t="inlineStr">
        <is>
          <t>Cash start</t>
        </is>
      </c>
      <c r="D379" s="29">
        <f>IF(D5=2022,0,C388)</f>
        <v/>
      </c>
      <c r="E379" s="29">
        <f>IF(E5=2022,0,D388)</f>
        <v/>
      </c>
      <c r="F379" s="29">
        <f>IF(F5=2022,0,E388)</f>
        <v/>
      </c>
      <c r="G379" s="29">
        <f>IF(G5=2022,0,F388)</f>
        <v/>
      </c>
      <c r="H379" s="29">
        <f>IF(H5=2022,0,G388)</f>
        <v/>
      </c>
      <c r="I379" s="29">
        <f>IF(I5=2022,0,H388)</f>
        <v/>
      </c>
      <c r="J379" s="29">
        <f>IF(J5=2022,0,I388)</f>
        <v/>
      </c>
      <c r="K379" s="29">
        <f>IF(K5=2022,0,J388)</f>
        <v/>
      </c>
      <c r="L379" s="29">
        <f>IF(L5=2022,0,K388)</f>
        <v/>
      </c>
    </row>
    <row r="380">
      <c r="B380" t="inlineStr">
        <is>
          <t>Debt start</t>
        </is>
      </c>
      <c r="D380" s="29">
        <f>IF(D5=2022,0,C382)</f>
        <v/>
      </c>
      <c r="E380" s="29">
        <f>IF(E5=2022,0,D382)</f>
        <v/>
      </c>
      <c r="F380" s="29">
        <f>IF(F5=2022,0,E382)</f>
        <v/>
      </c>
      <c r="G380" s="29">
        <f>IF(G5=2022,0,F382)</f>
        <v/>
      </c>
      <c r="H380" s="29">
        <f>IF(H5=2022,0,G382)</f>
        <v/>
      </c>
      <c r="I380" s="29">
        <f>IF(I5=2022,0,H382)</f>
        <v/>
      </c>
      <c r="J380" s="29">
        <f>IF(J5=2022,0,I382)</f>
        <v/>
      </c>
      <c r="K380" s="29">
        <f>IF(K5=2022,0,J382)</f>
        <v/>
      </c>
      <c r="L380" s="29">
        <f>IF(L5=2022,0,K382)</f>
        <v/>
      </c>
    </row>
    <row r="381">
      <c r="B381" t="inlineStr">
        <is>
          <t>Pre-debt cash</t>
        </is>
      </c>
      <c r="D381" s="29">
        <f>D379+D376-D377+D378</f>
        <v/>
      </c>
      <c r="E381" s="29">
        <f>E379+E376-E377+E378</f>
        <v/>
      </c>
      <c r="F381" s="29">
        <f>F379+F376-F377+F378</f>
        <v/>
      </c>
      <c r="G381" s="29">
        <f>G379+G376-G377+G378</f>
        <v/>
      </c>
      <c r="H381" s="29">
        <f>H379+H376-H377+H378</f>
        <v/>
      </c>
      <c r="I381" s="29">
        <f>I379+I376-I377+I378</f>
        <v/>
      </c>
      <c r="J381" s="29">
        <f>J379+J376-J377+J378</f>
        <v/>
      </c>
      <c r="K381" s="29">
        <f>K379+K376-K377+K378</f>
        <v/>
      </c>
      <c r="L381" s="29">
        <f>L379+L376-L377+L378</f>
        <v/>
      </c>
    </row>
    <row r="382">
      <c r="B382" t="inlineStr">
        <is>
          <t>Debt end</t>
        </is>
      </c>
      <c r="D382" s="29">
        <f>IF(D381&gt;=D380,0,(D380-D381)/(1-D14))</f>
        <v/>
      </c>
      <c r="E382" s="29">
        <f>IF(E381&gt;=E380,0,(E380-E381)/(1-E14))</f>
        <v/>
      </c>
      <c r="F382" s="29">
        <f>IF(F381&gt;=F380,0,(F380-F381)/(1-F14))</f>
        <v/>
      </c>
      <c r="G382" s="29">
        <f>IF(G381&gt;=G380,0,(G380-G381)/(1-G14))</f>
        <v/>
      </c>
      <c r="H382" s="29">
        <f>IF(H381&gt;=H380,0,(H380-H381)/(1-H14))</f>
        <v/>
      </c>
      <c r="I382" s="29">
        <f>IF(I381&gt;=I380,0,(I380-I381)/(1-I14))</f>
        <v/>
      </c>
      <c r="J382" s="29">
        <f>IF(J381&gt;=J380,0,(J380-J381)/(1-J14))</f>
        <v/>
      </c>
      <c r="K382" s="29">
        <f>IF(K381&gt;=K380,0,(K380-K381)/(1-K14))</f>
        <v/>
      </c>
      <c r="L382" s="29">
        <f>IF(L381&gt;=L380,0,(L380-L381)/(1-L14))</f>
        <v/>
      </c>
    </row>
    <row r="383">
      <c r="B383" t="inlineStr">
        <is>
          <t>Interest</t>
        </is>
      </c>
      <c r="D383" s="29">
        <f>D382*D14</f>
        <v/>
      </c>
      <c r="E383" s="29">
        <f>E382*E14</f>
        <v/>
      </c>
      <c r="F383" s="29">
        <f>F382*F14</f>
        <v/>
      </c>
      <c r="G383" s="29">
        <f>G382*G14</f>
        <v/>
      </c>
      <c r="H383" s="29">
        <f>H382*H14</f>
        <v/>
      </c>
      <c r="I383" s="29">
        <f>I382*I14</f>
        <v/>
      </c>
      <c r="J383" s="29">
        <f>J382*J14</f>
        <v/>
      </c>
      <c r="K383" s="29">
        <f>K382*K14</f>
        <v/>
      </c>
      <c r="L383" s="29">
        <f>L382*L14</f>
        <v/>
      </c>
    </row>
    <row r="384">
      <c r="B384" t="inlineStr">
        <is>
          <t>Debt draw</t>
        </is>
      </c>
      <c r="D384" s="29">
        <f>MAX(0,D382-D380)</f>
        <v/>
      </c>
      <c r="E384" s="29">
        <f>MAX(0,E382-E380)</f>
        <v/>
      </c>
      <c r="F384" s="29">
        <f>MAX(0,F382-F380)</f>
        <v/>
      </c>
      <c r="G384" s="29">
        <f>MAX(0,G382-G380)</f>
        <v/>
      </c>
      <c r="H384" s="29">
        <f>MAX(0,H382-H380)</f>
        <v/>
      </c>
      <c r="I384" s="29">
        <f>MAX(0,I382-I380)</f>
        <v/>
      </c>
      <c r="J384" s="29">
        <f>MAX(0,J382-J380)</f>
        <v/>
      </c>
      <c r="K384" s="29">
        <f>MAX(0,K382-K380)</f>
        <v/>
      </c>
      <c r="L384" s="29">
        <f>MAX(0,L382-L380)</f>
        <v/>
      </c>
    </row>
    <row r="385">
      <c r="B385" t="inlineStr">
        <is>
          <t>Debt repay</t>
        </is>
      </c>
      <c r="D385" s="29">
        <f>MAX(0,D380-D382)</f>
        <v/>
      </c>
      <c r="E385" s="29">
        <f>MAX(0,E380-E382)</f>
        <v/>
      </c>
      <c r="F385" s="29">
        <f>MAX(0,F380-F382)</f>
        <v/>
      </c>
      <c r="G385" s="29">
        <f>MAX(0,G380-G382)</f>
        <v/>
      </c>
      <c r="H385" s="29">
        <f>MAX(0,H380-H382)</f>
        <v/>
      </c>
      <c r="I385" s="29">
        <f>MAX(0,I380-I382)</f>
        <v/>
      </c>
      <c r="J385" s="29">
        <f>MAX(0,J380-J382)</f>
        <v/>
      </c>
      <c r="K385" s="29">
        <f>MAX(0,K380-K382)</f>
        <v/>
      </c>
      <c r="L385" s="29">
        <f>MAX(0,L380-L382)</f>
        <v/>
      </c>
    </row>
    <row r="386">
      <c r="B386" t="inlineStr">
        <is>
          <t>Post-debt cash</t>
        </is>
      </c>
      <c r="D386" s="29">
        <f>MAX(0,D381-D380)</f>
        <v/>
      </c>
      <c r="E386" s="29">
        <f>MAX(0,E381-E380)</f>
        <v/>
      </c>
      <c r="F386" s="29">
        <f>MAX(0,F381-F380)</f>
        <v/>
      </c>
      <c r="G386" s="29">
        <f>MAX(0,G381-G380)</f>
        <v/>
      </c>
      <c r="H386" s="29">
        <f>MAX(0,H381-H380)</f>
        <v/>
      </c>
      <c r="I386" s="29">
        <f>MAX(0,I381-I380)</f>
        <v/>
      </c>
      <c r="J386" s="29">
        <f>MAX(0,J381-J380)</f>
        <v/>
      </c>
      <c r="K386" s="29">
        <f>MAX(0,K381-K380)</f>
        <v/>
      </c>
      <c r="L386" s="29">
        <f>MAX(0,L381-L380)</f>
        <v/>
      </c>
    </row>
    <row r="387">
      <c r="B387" t="inlineStr">
        <is>
          <t>Dividends</t>
        </is>
      </c>
      <c r="D387" s="29">
        <f>IF(D382&gt;0,0,MAX(0,(D386-0)*1.0))</f>
        <v/>
      </c>
      <c r="E387" s="29">
        <f>IF(E382&gt;0,0,MAX(0,(E386-0)*1.0))</f>
        <v/>
      </c>
      <c r="F387" s="29">
        <f>IF(F382&gt;0,0,MAX(0,(F386-0)*1.0))</f>
        <v/>
      </c>
      <c r="G387" s="29">
        <f>IF(G382&gt;0,0,MAX(0,(G386-0)*1.0))</f>
        <v/>
      </c>
      <c r="H387" s="29">
        <f>IF(H382&gt;0,0,MAX(0,(H386-0)*1.0))</f>
        <v/>
      </c>
      <c r="I387" s="29">
        <f>IF(I382&gt;0,0,MAX(0,(I386-0)*1.0))</f>
        <v/>
      </c>
      <c r="J387" s="29">
        <f>IF(J382&gt;0,0,MAX(0,(J386-0)*1.0))</f>
        <v/>
      </c>
      <c r="K387" s="29">
        <f>IF(K382&gt;0,0,MAX(0,(K386-0)*1.0))</f>
        <v/>
      </c>
      <c r="L387" s="29">
        <f>IF(L382&gt;0,0,MAX(0,(L386-0)*1.0))</f>
        <v/>
      </c>
    </row>
    <row r="388">
      <c r="B388" t="inlineStr">
        <is>
          <t>Cash end</t>
        </is>
      </c>
      <c r="D388" s="29">
        <f>D381+D384-D385-D383-D387</f>
        <v/>
      </c>
      <c r="E388" s="29">
        <f>E381+E384-E385-E383-E387</f>
        <v/>
      </c>
      <c r="F388" s="29">
        <f>F381+F384-F385-F383-F387</f>
        <v/>
      </c>
      <c r="G388" s="29">
        <f>G381+G384-G385-G383-G387</f>
        <v/>
      </c>
      <c r="H388" s="29">
        <f>H381+H384-H385-H383-H387</f>
        <v/>
      </c>
      <c r="I388" s="29">
        <f>I381+I384-I385-I383-I387</f>
        <v/>
      </c>
      <c r="J388" s="29">
        <f>J381+J384-J385-J383-J387</f>
        <v/>
      </c>
      <c r="K388" s="29">
        <f>K381+K384-K385-K383-K387</f>
        <v/>
      </c>
      <c r="L388" s="29">
        <f>L381+L384-L385-L383-L387</f>
        <v/>
      </c>
    </row>
    <row r="389">
      <c r="B389" t="inlineStr">
        <is>
          <t>Equity CF</t>
        </is>
      </c>
      <c r="D389" s="29">
        <f>-D378+D387</f>
        <v/>
      </c>
      <c r="E389" s="29">
        <f>-E378+E387</f>
        <v/>
      </c>
      <c r="F389" s="29">
        <f>-F378+F387</f>
        <v/>
      </c>
      <c r="G389" s="29">
        <f>-G378+G387</f>
        <v/>
      </c>
      <c r="H389" s="29">
        <f>-H378+H387</f>
        <v/>
      </c>
      <c r="I389" s="29">
        <f>-I378+I387</f>
        <v/>
      </c>
      <c r="J389" s="29">
        <f>-J378+J387</f>
        <v/>
      </c>
      <c r="K389" s="29">
        <f>-K378+K387</f>
        <v/>
      </c>
      <c r="L389" s="29">
        <f>-L378+L387</f>
        <v/>
      </c>
    </row>
    <row r="390">
      <c r="B390" t="inlineStr">
        <is>
          <t>PV Equity CF</t>
        </is>
      </c>
      <c r="D390" s="29">
        <f>D389/(1+D12)^(D5-2022)</f>
        <v/>
      </c>
      <c r="E390" s="29">
        <f>E389/(1+E12)^(E5-2022)</f>
        <v/>
      </c>
      <c r="F390" s="29">
        <f>F389/(1+F12)^(F5-2022)</f>
        <v/>
      </c>
      <c r="G390" s="29">
        <f>G389/(1+G12)^(G5-2022)</f>
        <v/>
      </c>
      <c r="H390" s="29">
        <f>H389/(1+H12)^(H5-2022)</f>
        <v/>
      </c>
      <c r="I390" s="29">
        <f>I389/(1+I12)^(I5-2022)</f>
        <v/>
      </c>
      <c r="J390" s="29">
        <f>J389/(1+J12)^(J5-2022)</f>
        <v/>
      </c>
      <c r="K390" s="29">
        <f>K389/(1+K12)^(K5-2022)</f>
        <v/>
      </c>
      <c r="L390" s="29">
        <f>L389/(1+L12)^(L5-2022)</f>
        <v/>
      </c>
    </row>
    <row r="391">
      <c r="B391" t="inlineStr">
        <is>
          <t>NPV Equity</t>
        </is>
      </c>
      <c r="C391">
        <f>SUM(D390:L390)</f>
        <v/>
      </c>
    </row>
  </sheetData>
  <mergeCells count="1">
    <mergeCell ref="B2:L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Сергей Чернов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2026-03-01T15:55:08+00:00Z</dcterms:modified>
  <cp:lastModifiedBy>Sergey Chernov</cp:lastModifiedBy>
</cp:coreProperties>
</file>